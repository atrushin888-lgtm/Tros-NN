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/>
  <mc:AlternateContent xmlns:mc="http://schemas.openxmlformats.org/markup-compatibility/2006">
    <mc:Choice Requires="x15">
      <x15ac:absPath xmlns:x15ac="http://schemas.microsoft.com/office/spreadsheetml/2010/11/ac" url="/Users/alexeytrushin/Документы программ/Projects/tros-nn/"/>
    </mc:Choice>
  </mc:AlternateContent>
  <xr:revisionPtr revIDLastSave="0" documentId="13_ncr:1_{EEE02C1B-3BD9-3449-833A-D52102D41A6D}" xr6:coauthVersionLast="47" xr6:coauthVersionMax="47" xr10:uidLastSave="{00000000-0000-0000-0000-000000000000}"/>
  <bookViews>
    <workbookView xWindow="0" yWindow="660" windowWidth="29400" windowHeight="17440" xr2:uid="{00000000-000D-0000-FFFF-FFFF00000000}"/>
  </bookViews>
  <sheets>
    <sheet name="Реальные рыночные цены" sheetId="1" r:id="rId1"/>
    <sheet name="Сводка" sheetId="2" r:id="rId2"/>
    <sheet name="Товары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4" i="2" l="1"/>
</calcChain>
</file>

<file path=xl/sharedStrings.xml><?xml version="1.0" encoding="utf-8"?>
<sst xmlns="http://schemas.openxmlformats.org/spreadsheetml/2006/main" count="115" uniqueCount="93">
  <si>
    <t>АНАЛИЗ ПРОДАЖ ПО РЫНОЧНЫМ ЦЕНАМ — ТРОС NN</t>
  </si>
  <si>
    <t>ПОЗИЦИЯ</t>
  </si>
  <si>
    <t>СЕБЕСТОИМОСТЬ</t>
  </si>
  <si>
    <t>ПРОДАЖА</t>
  </si>
  <si>
    <t>ПРИБЫЛЬ</t>
  </si>
  <si>
    <t>Диаметр
(мм)</t>
  </si>
  <si>
    <t>Длина
(м)</t>
  </si>
  <si>
    <t>Кол-во
(шт)</t>
  </si>
  <si>
    <t>Закупочная
цена/м (₽)</t>
  </si>
  <si>
    <t>Себ-ть
1 шт (₽)</t>
  </si>
  <si>
    <t>Рыночная
цена/м (₽)</t>
  </si>
  <si>
    <t>Цена
1 шт (₽)</t>
  </si>
  <si>
    <t>Прибыль
1 шт (₽)</t>
  </si>
  <si>
    <t>Маржа
(%)</t>
  </si>
  <si>
    <t>Выручка
позиции (₽)</t>
  </si>
  <si>
    <t>Прибыль
позиции (₽)</t>
  </si>
  <si>
    <t>ИТОГО ПАРТИЯ</t>
  </si>
  <si>
    <t>—</t>
  </si>
  <si>
    <t>СТРУКТУРА РАСХОДОВ И ДОХОДОВ</t>
  </si>
  <si>
    <t>Закупка тросов (себестоимость)</t>
  </si>
  <si>
    <t>цена/м × длина × кол-во</t>
  </si>
  <si>
    <t>Доставка закупки</t>
  </si>
  <si>
    <t>фиксированный расход</t>
  </si>
  <si>
    <t>Маркетинг</t>
  </si>
  <si>
    <t>Доработка / сварщик</t>
  </si>
  <si>
    <t>сборка, ручки, финишная обработка</t>
  </si>
  <si>
    <t>Итого постоянные расходы</t>
  </si>
  <si>
    <t>доставка + маркетинг + доработка</t>
  </si>
  <si>
    <t>Выручка по рыночным ценам</t>
  </si>
  <si>
    <t>Налог УСН 6% от выручки</t>
  </si>
  <si>
    <t>6% × 206,005 ₽</t>
  </si>
  <si>
    <t>ЧИСТАЯ ПРИБЫЛЬ СО ВСЕЙ ПАРТИИ (после всех расходов и налога)</t>
  </si>
  <si>
    <t>Выручка</t>
  </si>
  <si>
    <t>− Себестоимость тросов</t>
  </si>
  <si>
    <t>− Постоянные расходы</t>
  </si>
  <si>
    <t>− Налог УСН 6%</t>
  </si>
  <si>
    <t>Маржа: 17.9% от выручки</t>
  </si>
  <si>
    <t>ВЫВОД: По рыночным ценам продавать ВЫГОДНО.</t>
  </si>
  <si>
    <t xml:space="preserve">  • Выручка по рыночным ценам: 206,005 ₽</t>
  </si>
  <si>
    <t xml:space="preserve">  • Себестоимость тросов: 121,775 ₽  |  Постоянные расходы: 35,000 ₽  |  Налог: 12,360 ₽</t>
  </si>
  <si>
    <t xml:space="preserve">  • Валовая прибыль (до фиксированных расходов и налога): 84,230 ₽</t>
  </si>
  <si>
    <t xml:space="preserve">  • Чистая прибыль: 36,870 ₽  (реальная маржа 17.9%)</t>
  </si>
  <si>
    <t>ЮНИТ-ЭКОНОМИКА — ТРОС NN</t>
  </si>
  <si>
    <t>Показатель</t>
  </si>
  <si>
    <t>Значение</t>
  </si>
  <si>
    <t>Примечание</t>
  </si>
  <si>
    <t>ПАРТИЯ</t>
  </si>
  <si>
    <t>Позиций (видов товара)</t>
  </si>
  <si>
    <t>Итого штук</t>
  </si>
  <si>
    <t>Общий вес партии</t>
  </si>
  <si>
    <t>СЕБЕСТОИМОСТЬ ПАРТИИ</t>
  </si>
  <si>
    <t>Себ-ть тросов (всего)</t>
  </si>
  <si>
    <t>Ручки (всего)</t>
  </si>
  <si>
    <t>472 ₽ × 40 шт</t>
  </si>
  <si>
    <t>Доставка</t>
  </si>
  <si>
    <t>распределена пропорционально весу</t>
  </si>
  <si>
    <t>Итого себ-ть партии</t>
  </si>
  <si>
    <t>трос + ручки + доставка</t>
  </si>
  <si>
    <t>Итого все расходы</t>
  </si>
  <si>
    <t>ВЫРУЧКА</t>
  </si>
  <si>
    <t>Выручка (все позиции, наценка 40%)</t>
  </si>
  <si>
    <t>цена = себ-ть × 1.4</t>
  </si>
  <si>
    <t>НАЛОГ И ПРИБЫЛЬ</t>
  </si>
  <si>
    <t>Налог УСН 6%</t>
  </si>
  <si>
    <t>6% от выручки</t>
  </si>
  <si>
    <t>Выручка за вычетом налога</t>
  </si>
  <si>
    <t>👉  ПРИБЫЛЬ С ПАРТИИ ПОСЛЕ ВСЕХ РАСХОДОВ</t>
  </si>
  <si>
    <t>− Себестоимость партии</t>
  </si>
  <si>
    <t>ЧИСТАЯ ПРИБЫЛЬ С ПАРТИИ</t>
  </si>
  <si>
    <t>Маржа: 38%</t>
  </si>
  <si>
    <t>АНАЛИТИКА ПОЗИЦИЙ</t>
  </si>
  <si>
    <t>ВЫВОДЫ</t>
  </si>
  <si>
    <t xml:space="preserve">  • Наценка 40% даёт чистую прибыль с партии: 59.187  ₽  (маржа 17.7%)</t>
  </si>
  <si>
    <t xml:space="preserve">  • Слабейшая позиция: 6 мм × 10 м — прибыль 1,850 ₽</t>
  </si>
  <si>
    <t xml:space="preserve">  • Точка безубыточности: нужно выручить минимум 155,655 ₽ (до налога)</t>
  </si>
  <si>
    <t xml:space="preserve">  • Маркетинг 10,000 ₽ = 27.8% от чистой прибыли — окупается</t>
  </si>
  <si>
    <t>ИДЕНТИФИКАЦИЯ</t>
  </si>
  <si>
    <t>РУЧКА</t>
  </si>
  <si>
    <t>ВЕС</t>
  </si>
  <si>
    <t>ДОСТАВКА</t>
  </si>
  <si>
    <t>ПОЛНАЯ СЕБ-ТЬ / ШТ</t>
  </si>
  <si>
    <t>ЦЕНА ПРОДАЖИ</t>
  </si>
  <si>
    <t>Себ-ть/м
(₽)</t>
  </si>
  <si>
    <t>Себ-ть троса
1 шт (₽)</t>
  </si>
  <si>
    <t>Ручка
(₽)</t>
  </si>
  <si>
    <t>Вес/м
(кг)</t>
  </si>
  <si>
    <t>Вес позиции
(кг)</t>
  </si>
  <si>
    <t>Доля доставки
на позицию (₽)</t>
  </si>
  <si>
    <t>Доставка
1 шт (₽)</t>
  </si>
  <si>
    <t>Полная себ-ть
1 шт (₽)</t>
  </si>
  <si>
    <t>Цена продажи
1 шт (₽)</t>
  </si>
  <si>
    <t>ИТОГО</t>
  </si>
  <si>
    <t>ЧИСТАЯ ПРИБЫЛЬ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</si>
</sst>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\ &quot;кг&quot;"/>
    <numFmt numFmtId="165" formatCode="#,##0\ \₽"/>
    <numFmt numFmtId="166" formatCode="#,##0.000"/>
    <numFmt numFmtId="167" formatCode="0.0%"/>
  </numFmts>
  <fonts count="21" x14ac:knownFonts="1">
    <font>
      <sz val="11"/>
      <color theme="1"/>
      <name val="Calibri"/>
      <family val="2"/>
      <scheme val="minor"/>
    </font>
    <font>
      <b/>
      <sz val="10"/>
      <color rgb="FFFFFFFF"/>
      <name val="Calibri"/>
      <family val="2"/>
    </font>
    <font>
      <sz val="10"/>
      <color rgb="FF000000"/>
      <name val="Calibri"/>
      <family val="2"/>
    </font>
    <font>
      <b/>
      <sz val="14"/>
      <color rgb="FFFFFFFF"/>
      <name val="Calibri"/>
      <family val="2"/>
    </font>
    <font>
      <b/>
      <sz val="11"/>
      <color rgb="FFFFFFFF"/>
      <name val="Calibri"/>
      <family val="2"/>
    </font>
    <font>
      <sz val="10"/>
      <name val="Calibri"/>
      <family val="2"/>
    </font>
    <font>
      <i/>
      <sz val="9"/>
      <color rgb="FF595959"/>
      <name val="Calibri"/>
      <family val="2"/>
    </font>
    <font>
      <b/>
      <sz val="10"/>
      <name val="Calibri"/>
      <family val="2"/>
    </font>
    <font>
      <b/>
      <sz val="12"/>
      <color rgb="FFFFFFFF"/>
      <name val="Calibri"/>
      <family val="2"/>
    </font>
    <font>
      <b/>
      <sz val="13"/>
      <color rgb="FFFFFFFF"/>
      <name val="Calibri"/>
      <family val="2"/>
    </font>
    <font>
      <b/>
      <sz val="14"/>
      <color rgb="FFFFFFFF"/>
      <name val="Calibri"/>
      <family val="2"/>
    </font>
    <font>
      <b/>
      <sz val="10"/>
      <color rgb="FFFFFFFF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b/>
      <sz val="10"/>
      <color rgb="FF375623"/>
      <name val="Calibri"/>
      <family val="2"/>
    </font>
    <font>
      <b/>
      <sz val="11"/>
      <color rgb="FFFFFFFF"/>
      <name val="Calibri"/>
      <family val="2"/>
    </font>
    <font>
      <sz val="10"/>
      <name val="Calibri"/>
      <family val="2"/>
    </font>
    <font>
      <i/>
      <sz val="9"/>
      <color rgb="FF595959"/>
      <name val="Calibri"/>
      <family val="2"/>
    </font>
    <font>
      <b/>
      <sz val="10"/>
      <name val="Calibri"/>
      <family val="2"/>
    </font>
    <font>
      <b/>
      <sz val="12"/>
      <color rgb="FFFFFFFF"/>
      <name val="Calibri"/>
      <family val="2"/>
    </font>
    <font>
      <b/>
      <sz val="11"/>
      <color rgb="FF375623"/>
      <name val="Calibri"/>
      <family val="2"/>
    </font>
  </fonts>
  <fills count="27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C55A11"/>
      </patternFill>
    </fill>
    <fill>
      <patternFill patternType="solid">
        <fgColor rgb="FF4472C4"/>
      </patternFill>
    </fill>
    <fill>
      <patternFill patternType="solid">
        <fgColor rgb="FF70AD47"/>
      </patternFill>
    </fill>
    <fill>
      <patternFill patternType="solid">
        <fgColor rgb="FFC00000"/>
      </patternFill>
    </fill>
    <fill>
      <patternFill patternType="solid">
        <fgColor rgb="FF375623"/>
      </patternFill>
    </fill>
    <fill>
      <patternFill patternType="solid">
        <fgColor rgb="FF2E4057"/>
      </patternFill>
    </fill>
    <fill>
      <patternFill patternType="solid">
        <fgColor rgb="FFFFFFFF"/>
      </patternFill>
    </fill>
    <fill>
      <patternFill patternType="solid">
        <fgColor rgb="FFEBF3FB"/>
      </patternFill>
    </fill>
    <fill>
      <patternFill patternType="solid">
        <fgColor rgb="FFD6E4F7"/>
      </patternFill>
    </fill>
    <fill>
      <patternFill patternType="solid">
        <fgColor rgb="FFDAEEF3"/>
      </patternFill>
    </fill>
    <fill>
      <patternFill patternType="solid">
        <fgColor rgb="FFFFF2CC"/>
      </patternFill>
    </fill>
    <fill>
      <patternFill patternType="solid">
        <fgColor rgb="FF1F3864"/>
      </patternFill>
    </fill>
    <fill>
      <patternFill patternType="solid">
        <fgColor rgb="FF2E4057"/>
      </patternFill>
    </fill>
    <fill>
      <patternFill patternType="solid">
        <fgColor rgb="FF2E75B6"/>
      </patternFill>
    </fill>
    <fill>
      <patternFill patternType="solid">
        <fgColor rgb="FF70AD47"/>
      </patternFill>
    </fill>
    <fill>
      <patternFill patternType="solid">
        <fgColor rgb="FFC55A11"/>
      </patternFill>
    </fill>
    <fill>
      <patternFill patternType="solid">
        <fgColor rgb="FFEBF3FB"/>
      </patternFill>
    </fill>
    <fill>
      <patternFill patternType="solid">
        <fgColor rgb="FFFFFFFF"/>
      </patternFill>
    </fill>
    <fill>
      <patternFill patternType="solid">
        <fgColor rgb="FFDAEEF3"/>
      </patternFill>
    </fill>
    <fill>
      <patternFill patternType="solid">
        <fgColor rgb="FFE2EFDA"/>
      </patternFill>
    </fill>
    <fill>
      <patternFill patternType="solid">
        <fgColor rgb="FFC00000"/>
      </patternFill>
    </fill>
    <fill>
      <patternFill patternType="solid">
        <fgColor rgb="FFFFF2CC"/>
      </patternFill>
    </fill>
    <fill>
      <patternFill patternType="solid">
        <fgColor rgb="FF375623"/>
      </patternFill>
    </fill>
  </fills>
  <borders count="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94">
    <xf numFmtId="0" fontId="0" fillId="0" borderId="0" xfId="0"/>
    <xf numFmtId="0" fontId="1" fillId="9" borderId="1" xfId="0" applyFont="1" applyFill="1" applyBorder="1" applyAlignment="1">
      <alignment horizontal="left"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5" fillId="11" borderId="1" xfId="0" applyFont="1" applyFill="1" applyBorder="1" applyAlignment="1">
      <alignment horizontal="left" vertical="center" indent="1"/>
    </xf>
    <xf numFmtId="3" fontId="5" fillId="11" borderId="1" xfId="0" applyNumberFormat="1" applyFont="1" applyFill="1" applyBorder="1" applyAlignment="1">
      <alignment horizontal="right" vertical="center"/>
    </xf>
    <xf numFmtId="0" fontId="0" fillId="0" borderId="1" xfId="0" applyBorder="1"/>
    <xf numFmtId="0" fontId="5" fillId="10" borderId="1" xfId="0" applyFont="1" applyFill="1" applyBorder="1" applyAlignment="1">
      <alignment horizontal="left" vertical="center" indent="1"/>
    </xf>
    <xf numFmtId="3" fontId="5" fillId="10" borderId="1" xfId="0" applyNumberFormat="1" applyFont="1" applyFill="1" applyBorder="1" applyAlignment="1">
      <alignment horizontal="right" vertical="center"/>
    </xf>
    <xf numFmtId="164" fontId="5" fillId="11" borderId="1" xfId="0" applyNumberFormat="1" applyFont="1" applyFill="1" applyBorder="1" applyAlignment="1">
      <alignment horizontal="right" vertical="center"/>
    </xf>
    <xf numFmtId="165" fontId="5" fillId="11" borderId="1" xfId="0" applyNumberFormat="1" applyFont="1" applyFill="1" applyBorder="1" applyAlignment="1">
      <alignment horizontal="right" vertical="center"/>
    </xf>
    <xf numFmtId="0" fontId="6" fillId="11" borderId="1" xfId="0" applyFont="1" applyFill="1" applyBorder="1" applyAlignment="1">
      <alignment horizontal="left" vertical="center" wrapText="1" indent="1"/>
    </xf>
    <xf numFmtId="165" fontId="5" fillId="10" borderId="1" xfId="0" applyNumberFormat="1" applyFont="1" applyFill="1" applyBorder="1" applyAlignment="1">
      <alignment horizontal="right" vertical="center"/>
    </xf>
    <xf numFmtId="0" fontId="6" fillId="10" borderId="1" xfId="0" applyFont="1" applyFill="1" applyBorder="1" applyAlignment="1">
      <alignment horizontal="left" vertical="center" wrapText="1" indent="1"/>
    </xf>
    <xf numFmtId="0" fontId="7" fillId="12" borderId="1" xfId="0" applyFont="1" applyFill="1" applyBorder="1" applyAlignment="1">
      <alignment horizontal="left" vertical="center" indent="1"/>
    </xf>
    <xf numFmtId="165" fontId="7" fillId="12" borderId="1" xfId="0" applyNumberFormat="1" applyFont="1" applyFill="1" applyBorder="1" applyAlignment="1">
      <alignment horizontal="right" vertical="center"/>
    </xf>
    <xf numFmtId="0" fontId="7" fillId="13" borderId="1" xfId="0" applyFont="1" applyFill="1" applyBorder="1" applyAlignment="1">
      <alignment horizontal="left" vertical="center" indent="1"/>
    </xf>
    <xf numFmtId="165" fontId="7" fillId="13" borderId="1" xfId="0" applyNumberFormat="1" applyFont="1" applyFill="1" applyBorder="1" applyAlignment="1">
      <alignment horizontal="right" vertical="center"/>
    </xf>
    <xf numFmtId="0" fontId="7" fillId="10" borderId="1" xfId="0" applyFont="1" applyFill="1" applyBorder="1" applyAlignment="1">
      <alignment horizontal="left" vertical="center" indent="1"/>
    </xf>
    <xf numFmtId="165" fontId="7" fillId="10" borderId="1" xfId="0" applyNumberFormat="1" applyFont="1" applyFill="1" applyBorder="1" applyAlignment="1">
      <alignment horizontal="right" vertical="center"/>
    </xf>
    <xf numFmtId="0" fontId="5" fillId="14" borderId="1" xfId="0" applyFont="1" applyFill="1" applyBorder="1" applyAlignment="1">
      <alignment horizontal="left" vertical="center" indent="1"/>
    </xf>
    <xf numFmtId="165" fontId="5" fillId="14" borderId="1" xfId="0" applyNumberFormat="1" applyFont="1" applyFill="1" applyBorder="1" applyAlignment="1">
      <alignment horizontal="right" vertical="center"/>
    </xf>
    <xf numFmtId="165" fontId="9" fillId="8" borderId="1" xfId="0" applyNumberFormat="1" applyFont="1" applyFill="1" applyBorder="1" applyAlignment="1">
      <alignment horizontal="right" vertical="center"/>
    </xf>
    <xf numFmtId="0" fontId="4" fillId="8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3" fontId="2" fillId="10" borderId="1" xfId="0" applyNumberFormat="1" applyFont="1" applyFill="1" applyBorder="1" applyAlignment="1">
      <alignment horizontal="center" vertical="center"/>
    </xf>
    <xf numFmtId="165" fontId="2" fillId="10" borderId="1" xfId="0" applyNumberFormat="1" applyFont="1" applyFill="1" applyBorder="1" applyAlignment="1">
      <alignment horizontal="center" vertical="center"/>
    </xf>
    <xf numFmtId="166" fontId="2" fillId="10" borderId="1" xfId="0" applyNumberFormat="1" applyFont="1" applyFill="1" applyBorder="1" applyAlignment="1">
      <alignment horizontal="center" vertical="center"/>
    </xf>
    <xf numFmtId="3" fontId="2" fillId="11" borderId="1" xfId="0" applyNumberFormat="1" applyFont="1" applyFill="1" applyBorder="1" applyAlignment="1">
      <alignment horizontal="center" vertical="center"/>
    </xf>
    <xf numFmtId="165" fontId="2" fillId="11" borderId="1" xfId="0" applyNumberFormat="1" applyFont="1" applyFill="1" applyBorder="1" applyAlignment="1">
      <alignment horizontal="center" vertical="center"/>
    </xf>
    <xf numFmtId="166" fontId="2" fillId="11" borderId="1" xfId="0" applyNumberFormat="1" applyFont="1" applyFill="1" applyBorder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  <xf numFmtId="166" fontId="1" fillId="2" borderId="1" xfId="0" applyNumberFormat="1" applyFont="1" applyFill="1" applyBorder="1" applyAlignment="1">
      <alignment horizontal="center" vertical="center"/>
    </xf>
    <xf numFmtId="0" fontId="11" fillId="16" borderId="4" xfId="0" applyFont="1" applyFill="1" applyBorder="1" applyAlignment="1">
      <alignment horizontal="center" vertical="center" wrapText="1"/>
    </xf>
    <xf numFmtId="3" fontId="12" fillId="20" borderId="4" xfId="0" applyNumberFormat="1" applyFont="1" applyFill="1" applyBorder="1" applyAlignment="1">
      <alignment horizontal="center" vertical="center"/>
    </xf>
    <xf numFmtId="165" fontId="12" fillId="20" borderId="4" xfId="0" applyNumberFormat="1" applyFont="1" applyFill="1" applyBorder="1" applyAlignment="1">
      <alignment horizontal="center" vertical="center"/>
    </xf>
    <xf numFmtId="165" fontId="13" fillId="20" borderId="4" xfId="0" applyNumberFormat="1" applyFont="1" applyFill="1" applyBorder="1" applyAlignment="1">
      <alignment horizontal="center" vertical="center"/>
    </xf>
    <xf numFmtId="167" fontId="12" fillId="20" borderId="4" xfId="0" applyNumberFormat="1" applyFont="1" applyFill="1" applyBorder="1" applyAlignment="1">
      <alignment horizontal="center" vertical="center"/>
    </xf>
    <xf numFmtId="165" fontId="14" fillId="20" borderId="4" xfId="0" applyNumberFormat="1" applyFont="1" applyFill="1" applyBorder="1" applyAlignment="1">
      <alignment horizontal="center" vertical="center"/>
    </xf>
    <xf numFmtId="3" fontId="12" fillId="21" borderId="4" xfId="0" applyNumberFormat="1" applyFont="1" applyFill="1" applyBorder="1" applyAlignment="1">
      <alignment horizontal="center" vertical="center"/>
    </xf>
    <xf numFmtId="165" fontId="12" fillId="21" borderId="4" xfId="0" applyNumberFormat="1" applyFont="1" applyFill="1" applyBorder="1" applyAlignment="1">
      <alignment horizontal="center" vertical="center"/>
    </xf>
    <xf numFmtId="165" fontId="13" fillId="21" borderId="4" xfId="0" applyNumberFormat="1" applyFont="1" applyFill="1" applyBorder="1" applyAlignment="1">
      <alignment horizontal="center" vertical="center"/>
    </xf>
    <xf numFmtId="167" fontId="12" fillId="21" borderId="4" xfId="0" applyNumberFormat="1" applyFont="1" applyFill="1" applyBorder="1" applyAlignment="1">
      <alignment horizontal="center" vertical="center"/>
    </xf>
    <xf numFmtId="165" fontId="14" fillId="21" borderId="4" xfId="0" applyNumberFormat="1" applyFont="1" applyFill="1" applyBorder="1" applyAlignment="1">
      <alignment horizontal="center" vertical="center"/>
    </xf>
    <xf numFmtId="0" fontId="11" fillId="15" borderId="4" xfId="0" applyFont="1" applyFill="1" applyBorder="1" applyAlignment="1">
      <alignment horizontal="center" vertical="center"/>
    </xf>
    <xf numFmtId="165" fontId="11" fillId="15" borderId="4" xfId="0" applyNumberFormat="1" applyFont="1" applyFill="1" applyBorder="1" applyAlignment="1">
      <alignment horizontal="right" vertical="center"/>
    </xf>
    <xf numFmtId="0" fontId="11" fillId="17" borderId="4" xfId="0" applyFont="1" applyFill="1" applyBorder="1" applyAlignment="1">
      <alignment horizontal="center" vertical="center" wrapText="1"/>
    </xf>
    <xf numFmtId="0" fontId="0" fillId="0" borderId="0" xfId="0"/>
    <xf numFmtId="0" fontId="16" fillId="25" borderId="4" xfId="0" applyFont="1" applyFill="1" applyBorder="1" applyAlignment="1">
      <alignment horizontal="left" vertical="center" indent="2"/>
    </xf>
    <xf numFmtId="0" fontId="16" fillId="21" borderId="4" xfId="0" applyFont="1" applyFill="1" applyBorder="1" applyAlignment="1">
      <alignment horizontal="left" vertical="center" wrapText="1" indent="1"/>
    </xf>
    <xf numFmtId="0" fontId="16" fillId="20" borderId="4" xfId="0" applyFont="1" applyFill="1" applyBorder="1" applyAlignment="1">
      <alignment horizontal="left" vertical="center" indent="2"/>
    </xf>
    <xf numFmtId="0" fontId="11" fillId="15" borderId="4" xfId="0" applyFont="1" applyFill="1" applyBorder="1" applyAlignment="1">
      <alignment horizontal="center" vertical="center"/>
    </xf>
    <xf numFmtId="0" fontId="20" fillId="23" borderId="4" xfId="0" applyFont="1" applyFill="1" applyBorder="1" applyAlignment="1">
      <alignment horizontal="left" vertical="center" indent="2"/>
    </xf>
    <xf numFmtId="165" fontId="16" fillId="25" borderId="4" xfId="0" applyNumberFormat="1" applyFont="1" applyFill="1" applyBorder="1" applyAlignment="1">
      <alignment horizontal="right" vertical="center"/>
    </xf>
    <xf numFmtId="0" fontId="10" fillId="15" borderId="0" xfId="0" applyFont="1" applyFill="1" applyAlignment="1">
      <alignment horizontal="center" vertical="center"/>
    </xf>
    <xf numFmtId="0" fontId="11" fillId="16" borderId="4" xfId="0" applyFont="1" applyFill="1" applyBorder="1" applyAlignment="1">
      <alignment horizontal="center" vertical="center" wrapText="1"/>
    </xf>
    <xf numFmtId="165" fontId="18" fillId="22" borderId="4" xfId="0" applyNumberFormat="1" applyFont="1" applyFill="1" applyBorder="1" applyAlignment="1">
      <alignment horizontal="right" vertical="center"/>
    </xf>
    <xf numFmtId="165" fontId="10" fillId="26" borderId="4" xfId="0" applyNumberFormat="1" applyFont="1" applyFill="1" applyBorder="1" applyAlignment="1">
      <alignment horizontal="right" vertical="center"/>
    </xf>
    <xf numFmtId="165" fontId="16" fillId="21" borderId="4" xfId="0" applyNumberFormat="1" applyFont="1" applyFill="1" applyBorder="1" applyAlignment="1">
      <alignment horizontal="right" vertical="center"/>
    </xf>
    <xf numFmtId="0" fontId="17" fillId="20" borderId="4" xfId="0" applyFont="1" applyFill="1" applyBorder="1" applyAlignment="1">
      <alignment horizontal="left" vertical="center" wrapText="1" indent="1"/>
    </xf>
    <xf numFmtId="0" fontId="17" fillId="21" borderId="4" xfId="0" applyFont="1" applyFill="1" applyBorder="1" applyAlignment="1">
      <alignment horizontal="left" vertical="center" wrapText="1" indent="1"/>
    </xf>
    <xf numFmtId="0" fontId="0" fillId="20" borderId="4" xfId="0" applyFill="1" applyBorder="1"/>
    <xf numFmtId="165" fontId="16" fillId="20" borderId="4" xfId="0" applyNumberFormat="1" applyFont="1" applyFill="1" applyBorder="1" applyAlignment="1">
      <alignment horizontal="right" vertical="center"/>
    </xf>
    <xf numFmtId="0" fontId="18" fillId="22" borderId="4" xfId="0" applyFont="1" applyFill="1" applyBorder="1" applyAlignment="1">
      <alignment horizontal="left" vertical="center" indent="2"/>
    </xf>
    <xf numFmtId="0" fontId="11" fillId="18" borderId="4" xfId="0" applyFont="1" applyFill="1" applyBorder="1" applyAlignment="1">
      <alignment horizontal="center" vertical="center" wrapText="1"/>
    </xf>
    <xf numFmtId="0" fontId="15" fillId="17" borderId="4" xfId="0" applyFont="1" applyFill="1" applyBorder="1" applyAlignment="1">
      <alignment horizontal="center" vertical="center"/>
    </xf>
    <xf numFmtId="0" fontId="16" fillId="21" borderId="4" xfId="0" applyFont="1" applyFill="1" applyBorder="1" applyAlignment="1">
      <alignment horizontal="left" vertical="center" indent="2"/>
    </xf>
    <xf numFmtId="0" fontId="11" fillId="19" borderId="4" xfId="0" applyFont="1" applyFill="1" applyBorder="1" applyAlignment="1">
      <alignment horizontal="center" vertical="center" wrapText="1"/>
    </xf>
    <xf numFmtId="165" fontId="18" fillId="23" borderId="4" xfId="0" applyNumberFormat="1" applyFont="1" applyFill="1" applyBorder="1" applyAlignment="1">
      <alignment horizontal="right" vertical="center"/>
    </xf>
    <xf numFmtId="0" fontId="19" fillId="24" borderId="4" xfId="0" applyFont="1" applyFill="1" applyBorder="1" applyAlignment="1">
      <alignment horizontal="center" vertical="center"/>
    </xf>
    <xf numFmtId="0" fontId="16" fillId="20" borderId="4" xfId="0" applyFont="1" applyFill="1" applyBorder="1" applyAlignment="1">
      <alignment horizontal="left" vertical="center" wrapText="1" indent="1"/>
    </xf>
    <xf numFmtId="0" fontId="18" fillId="23" borderId="4" xfId="0" applyFont="1" applyFill="1" applyBorder="1" applyAlignment="1">
      <alignment horizontal="left" vertical="center" indent="2"/>
    </xf>
    <xf numFmtId="0" fontId="8" fillId="7" borderId="1" xfId="0" applyFont="1" applyFill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4" fillId="5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5" fillId="11" borderId="1" xfId="0" applyFont="1" applyFill="1" applyBorder="1" applyAlignment="1">
      <alignment horizontal="left" vertical="center" wrapText="1" indent="1"/>
    </xf>
    <xf numFmtId="0" fontId="4" fillId="3" borderId="1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5" fillId="10" borderId="1" xfId="0" applyFont="1" applyFill="1" applyBorder="1" applyAlignment="1">
      <alignment horizontal="left" vertical="center" wrapText="1" indent="1"/>
    </xf>
    <xf numFmtId="0" fontId="4" fillId="9" borderId="1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left" vertical="center" indent="1"/>
    </xf>
    <xf numFmtId="0" fontId="4" fillId="6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9" fillId="26" borderId="4" xfId="0" applyFont="1" applyFill="1" applyBorder="1" applyAlignment="1">
      <alignment horizontal="left" vertical="center" indent="2"/>
    </xf>
    <xf numFmtId="0" fontId="4" fillId="26" borderId="4" xfId="0" applyFont="1" applyFill="1" applyBorder="1" applyAlignment="1">
      <alignment horizontal="center" vertical="center"/>
    </xf>
    <xf numFmtId="0" fontId="5" fillId="20" borderId="4" xfId="0" applyFont="1" applyFill="1" applyBorder="1" applyAlignment="1">
      <alignment horizontal="left" vertical="center" wrapText="1" inden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0"/>
  <sheetViews>
    <sheetView showGridLines="0" tabSelected="1" zoomScale="131" workbookViewId="0">
      <pane ySplit="3" topLeftCell="A4" activePane="bottomLeft" state="frozen"/>
      <selection activeCell="A37" sqref="A37:K37"/>
      <selection pane="bottomLeft" activeCell="D44" sqref="D44"/>
    </sheetView>
  </sheetViews>
  <sheetFormatPr baseColWidth="10" defaultColWidth="8.83203125" defaultRowHeight="15" x14ac:dyDescent="0.2"/>
  <cols>
    <col min="1" max="1" width="10" customWidth="1"/>
    <col min="2" max="2" width="8" customWidth="1"/>
    <col min="3" max="3" width="9" customWidth="1"/>
    <col min="4" max="4" width="14" customWidth="1"/>
    <col min="5" max="5" width="18" customWidth="1"/>
    <col min="6" max="6" width="14" customWidth="1"/>
    <col min="7" max="7" width="18" customWidth="1"/>
    <col min="8" max="8" width="14" customWidth="1"/>
    <col min="9" max="9" width="11" customWidth="1"/>
    <col min="10" max="11" width="18" customWidth="1"/>
  </cols>
  <sheetData>
    <row r="1" spans="1:11" ht="36" customHeight="1" x14ac:dyDescent="0.2">
      <c r="A1" s="53" t="s">
        <v>0</v>
      </c>
      <c r="B1" s="46"/>
      <c r="C1" s="46"/>
      <c r="D1" s="46"/>
      <c r="E1" s="46"/>
      <c r="F1" s="46"/>
      <c r="G1" s="46"/>
      <c r="H1" s="46"/>
      <c r="I1" s="46"/>
      <c r="J1" s="46"/>
      <c r="K1" s="46"/>
    </row>
    <row r="2" spans="1:11" ht="22" customHeight="1" x14ac:dyDescent="0.2">
      <c r="A2" s="54" t="s">
        <v>1</v>
      </c>
      <c r="B2" s="46"/>
      <c r="C2" s="46"/>
      <c r="D2" s="45" t="s">
        <v>2</v>
      </c>
      <c r="E2" s="46"/>
      <c r="F2" s="46"/>
      <c r="G2" s="63" t="s">
        <v>3</v>
      </c>
      <c r="H2" s="46"/>
      <c r="I2" s="46"/>
      <c r="J2" s="66" t="s">
        <v>4</v>
      </c>
      <c r="K2" s="46"/>
    </row>
    <row r="3" spans="1:11" ht="44" customHeight="1" x14ac:dyDescent="0.2">
      <c r="A3" s="32" t="s">
        <v>5</v>
      </c>
      <c r="B3" s="32" t="s">
        <v>6</v>
      </c>
      <c r="C3" s="32" t="s">
        <v>7</v>
      </c>
      <c r="D3" s="32" t="s">
        <v>8</v>
      </c>
      <c r="E3" s="32" t="s">
        <v>9</v>
      </c>
      <c r="F3" s="32" t="s">
        <v>10</v>
      </c>
      <c r="G3" s="32" t="s">
        <v>11</v>
      </c>
      <c r="H3" s="32" t="s">
        <v>12</v>
      </c>
      <c r="I3" s="32" t="s">
        <v>13</v>
      </c>
      <c r="J3" s="32" t="s">
        <v>14</v>
      </c>
      <c r="K3" s="32" t="s">
        <v>15</v>
      </c>
    </row>
    <row r="4" spans="1:11" ht="18" customHeight="1" x14ac:dyDescent="0.2">
      <c r="A4" s="33">
        <v>8</v>
      </c>
      <c r="B4" s="33">
        <v>5</v>
      </c>
      <c r="C4" s="33">
        <v>8</v>
      </c>
      <c r="D4" s="34">
        <v>250</v>
      </c>
      <c r="E4" s="25">
        <v>1757.44</v>
      </c>
      <c r="F4" s="34">
        <v>450</v>
      </c>
      <c r="G4" s="35">
        <v>2250</v>
      </c>
      <c r="H4" s="34">
        <v>1000</v>
      </c>
      <c r="I4" s="36">
        <v>0.44444444444444442</v>
      </c>
      <c r="J4" s="34">
        <v>18000</v>
      </c>
      <c r="K4" s="37">
        <v>8000</v>
      </c>
    </row>
    <row r="5" spans="1:11" ht="18" customHeight="1" x14ac:dyDescent="0.2">
      <c r="A5" s="38">
        <v>8</v>
      </c>
      <c r="B5" s="38">
        <v>10</v>
      </c>
      <c r="C5" s="38">
        <v>6</v>
      </c>
      <c r="D5" s="39">
        <v>250</v>
      </c>
      <c r="E5" s="28">
        <v>3042.88</v>
      </c>
      <c r="F5" s="39">
        <v>450</v>
      </c>
      <c r="G5" s="40">
        <v>4500</v>
      </c>
      <c r="H5" s="39">
        <v>2000</v>
      </c>
      <c r="I5" s="41">
        <v>0.44444444444444442</v>
      </c>
      <c r="J5" s="39">
        <v>27000</v>
      </c>
      <c r="K5" s="42">
        <v>12000</v>
      </c>
    </row>
    <row r="6" spans="1:11" ht="18" customHeight="1" x14ac:dyDescent="0.2">
      <c r="A6" s="33">
        <v>6</v>
      </c>
      <c r="B6" s="33">
        <v>5</v>
      </c>
      <c r="C6" s="33">
        <v>4</v>
      </c>
      <c r="D6" s="34">
        <v>180</v>
      </c>
      <c r="E6" s="25">
        <v>1392.33</v>
      </c>
      <c r="F6" s="34">
        <v>337</v>
      </c>
      <c r="G6" s="35">
        <v>1685</v>
      </c>
      <c r="H6" s="34">
        <v>785</v>
      </c>
      <c r="I6" s="36">
        <v>0.46587537091988129</v>
      </c>
      <c r="J6" s="34">
        <v>6740</v>
      </c>
      <c r="K6" s="37">
        <v>3140</v>
      </c>
    </row>
    <row r="7" spans="1:11" ht="18" customHeight="1" x14ac:dyDescent="0.2">
      <c r="A7" s="38">
        <v>6</v>
      </c>
      <c r="B7" s="38">
        <v>10</v>
      </c>
      <c r="C7" s="38">
        <v>2</v>
      </c>
      <c r="D7" s="39">
        <v>180</v>
      </c>
      <c r="E7" s="28">
        <v>2312.66</v>
      </c>
      <c r="F7" s="39">
        <v>337</v>
      </c>
      <c r="G7" s="40">
        <v>3370</v>
      </c>
      <c r="H7" s="39">
        <v>1570</v>
      </c>
      <c r="I7" s="41">
        <v>0.46587537091988129</v>
      </c>
      <c r="J7" s="39">
        <v>6740</v>
      </c>
      <c r="K7" s="42">
        <v>3140</v>
      </c>
    </row>
    <row r="8" spans="1:11" ht="18" customHeight="1" x14ac:dyDescent="0.2">
      <c r="A8" s="33">
        <v>10</v>
      </c>
      <c r="B8" s="33">
        <v>5</v>
      </c>
      <c r="C8" s="33">
        <v>3</v>
      </c>
      <c r="D8" s="34">
        <v>272</v>
      </c>
      <c r="E8" s="25">
        <v>1884.72</v>
      </c>
      <c r="F8" s="34">
        <v>505</v>
      </c>
      <c r="G8" s="35">
        <v>2525</v>
      </c>
      <c r="H8" s="34">
        <v>1165</v>
      </c>
      <c r="I8" s="36">
        <v>0.46138613861386141</v>
      </c>
      <c r="J8" s="34">
        <v>7575</v>
      </c>
      <c r="K8" s="37">
        <v>3495</v>
      </c>
    </row>
    <row r="9" spans="1:11" ht="18" customHeight="1" x14ac:dyDescent="0.2">
      <c r="A9" s="38">
        <v>10</v>
      </c>
      <c r="B9" s="38">
        <v>10</v>
      </c>
      <c r="C9" s="38">
        <v>3</v>
      </c>
      <c r="D9" s="39">
        <v>272</v>
      </c>
      <c r="E9" s="28">
        <v>3297.44</v>
      </c>
      <c r="F9" s="39">
        <v>505</v>
      </c>
      <c r="G9" s="40">
        <v>5050</v>
      </c>
      <c r="H9" s="39">
        <v>2330</v>
      </c>
      <c r="I9" s="41">
        <v>0.46138613861386141</v>
      </c>
      <c r="J9" s="39">
        <v>15150</v>
      </c>
      <c r="K9" s="42">
        <v>6990</v>
      </c>
    </row>
    <row r="10" spans="1:11" ht="18" customHeight="1" x14ac:dyDescent="0.2">
      <c r="A10" s="33">
        <v>10</v>
      </c>
      <c r="B10" s="33">
        <v>15</v>
      </c>
      <c r="C10" s="33">
        <v>2</v>
      </c>
      <c r="D10" s="34">
        <v>272</v>
      </c>
      <c r="E10" s="25">
        <v>4710.17</v>
      </c>
      <c r="F10" s="34">
        <v>505</v>
      </c>
      <c r="G10" s="35">
        <v>7575</v>
      </c>
      <c r="H10" s="34">
        <v>3495</v>
      </c>
      <c r="I10" s="36">
        <v>0.46138613861386141</v>
      </c>
      <c r="J10" s="34">
        <v>15150</v>
      </c>
      <c r="K10" s="37">
        <v>6990</v>
      </c>
    </row>
    <row r="11" spans="1:11" ht="18" customHeight="1" x14ac:dyDescent="0.2">
      <c r="A11" s="38">
        <v>12</v>
      </c>
      <c r="B11" s="38">
        <v>10</v>
      </c>
      <c r="C11" s="38">
        <v>3</v>
      </c>
      <c r="D11" s="39">
        <v>322</v>
      </c>
      <c r="E11" s="28">
        <v>3844.19</v>
      </c>
      <c r="F11" s="39">
        <v>580</v>
      </c>
      <c r="G11" s="40">
        <v>5800</v>
      </c>
      <c r="H11" s="39">
        <v>2580</v>
      </c>
      <c r="I11" s="41">
        <v>0.44482758620689661</v>
      </c>
      <c r="J11" s="39">
        <v>17400</v>
      </c>
      <c r="K11" s="42">
        <v>7740</v>
      </c>
    </row>
    <row r="12" spans="1:11" ht="18" customHeight="1" x14ac:dyDescent="0.2">
      <c r="A12" s="33">
        <v>12</v>
      </c>
      <c r="B12" s="33">
        <v>15</v>
      </c>
      <c r="C12" s="33">
        <v>2</v>
      </c>
      <c r="D12" s="34">
        <v>322</v>
      </c>
      <c r="E12" s="25">
        <v>5530.28</v>
      </c>
      <c r="F12" s="34">
        <v>580</v>
      </c>
      <c r="G12" s="35">
        <v>8700</v>
      </c>
      <c r="H12" s="34">
        <v>3870</v>
      </c>
      <c r="I12" s="36">
        <v>0.44482758620689661</v>
      </c>
      <c r="J12" s="34">
        <v>17400</v>
      </c>
      <c r="K12" s="37">
        <v>7740</v>
      </c>
    </row>
    <row r="13" spans="1:11" ht="18" customHeight="1" x14ac:dyDescent="0.2">
      <c r="A13" s="38">
        <v>12</v>
      </c>
      <c r="B13" s="38">
        <v>20</v>
      </c>
      <c r="C13" s="38">
        <v>2</v>
      </c>
      <c r="D13" s="39">
        <v>322</v>
      </c>
      <c r="E13" s="28">
        <v>7216.37</v>
      </c>
      <c r="F13" s="39">
        <v>580</v>
      </c>
      <c r="G13" s="40">
        <v>11600</v>
      </c>
      <c r="H13" s="39">
        <v>5160</v>
      </c>
      <c r="I13" s="41">
        <v>0.44482758620689661</v>
      </c>
      <c r="J13" s="39">
        <v>23200</v>
      </c>
      <c r="K13" s="42">
        <v>10320</v>
      </c>
    </row>
    <row r="14" spans="1:11" ht="18" customHeight="1" x14ac:dyDescent="0.2">
      <c r="A14" s="33">
        <v>14</v>
      </c>
      <c r="B14" s="33">
        <v>15</v>
      </c>
      <c r="C14" s="33">
        <v>2</v>
      </c>
      <c r="D14" s="34">
        <v>470</v>
      </c>
      <c r="E14" s="25">
        <v>7864.42</v>
      </c>
      <c r="F14" s="34">
        <v>658</v>
      </c>
      <c r="G14" s="35">
        <v>9870</v>
      </c>
      <c r="H14" s="34">
        <v>2820</v>
      </c>
      <c r="I14" s="36">
        <v>0.2857142857142857</v>
      </c>
      <c r="J14" s="34">
        <v>19740</v>
      </c>
      <c r="K14" s="37">
        <v>5640</v>
      </c>
    </row>
    <row r="15" spans="1:11" ht="18" customHeight="1" x14ac:dyDescent="0.2">
      <c r="A15" s="38">
        <v>14</v>
      </c>
      <c r="B15" s="38">
        <v>20</v>
      </c>
      <c r="C15" s="38">
        <v>1</v>
      </c>
      <c r="D15" s="39">
        <v>470</v>
      </c>
      <c r="E15" s="28">
        <v>10328.56</v>
      </c>
      <c r="F15" s="39">
        <v>658</v>
      </c>
      <c r="G15" s="40">
        <v>13160</v>
      </c>
      <c r="H15" s="39">
        <v>3760</v>
      </c>
      <c r="I15" s="41">
        <v>0.2857142857142857</v>
      </c>
      <c r="J15" s="39">
        <v>13160</v>
      </c>
      <c r="K15" s="42">
        <v>3760</v>
      </c>
    </row>
    <row r="16" spans="1:11" ht="18" customHeight="1" x14ac:dyDescent="0.2">
      <c r="A16" s="33">
        <v>16</v>
      </c>
      <c r="B16" s="33">
        <v>10</v>
      </c>
      <c r="C16" s="33">
        <v>1</v>
      </c>
      <c r="D16" s="34">
        <v>539</v>
      </c>
      <c r="E16" s="25">
        <v>6131.81</v>
      </c>
      <c r="F16" s="34">
        <v>750</v>
      </c>
      <c r="G16" s="35">
        <v>7500</v>
      </c>
      <c r="H16" s="34">
        <v>2110</v>
      </c>
      <c r="I16" s="36">
        <v>0.28133333333333332</v>
      </c>
      <c r="J16" s="34">
        <v>7500</v>
      </c>
      <c r="K16" s="37">
        <v>2110</v>
      </c>
    </row>
    <row r="17" spans="1:11" ht="18" customHeight="1" x14ac:dyDescent="0.2">
      <c r="A17" s="38">
        <v>16</v>
      </c>
      <c r="B17" s="38">
        <v>15</v>
      </c>
      <c r="C17" s="38">
        <v>1</v>
      </c>
      <c r="D17" s="39">
        <v>539</v>
      </c>
      <c r="E17" s="28">
        <v>8961.7099999999991</v>
      </c>
      <c r="F17" s="39">
        <v>750</v>
      </c>
      <c r="G17" s="40">
        <v>11250</v>
      </c>
      <c r="H17" s="39">
        <v>3165</v>
      </c>
      <c r="I17" s="41">
        <v>0.28133333333333332</v>
      </c>
      <c r="J17" s="39">
        <v>11250</v>
      </c>
      <c r="K17" s="42">
        <v>3165</v>
      </c>
    </row>
    <row r="18" spans="1:11" ht="22" customHeight="1" x14ac:dyDescent="0.2">
      <c r="A18" s="50" t="s">
        <v>16</v>
      </c>
      <c r="B18" s="46"/>
      <c r="C18" s="46"/>
      <c r="D18" s="43" t="s">
        <v>17</v>
      </c>
      <c r="E18" s="44">
        <v>121775</v>
      </c>
      <c r="F18" s="43" t="s">
        <v>17</v>
      </c>
      <c r="G18" s="44">
        <v>206005</v>
      </c>
      <c r="H18" s="43" t="s">
        <v>17</v>
      </c>
      <c r="I18" s="43" t="s">
        <v>17</v>
      </c>
      <c r="J18" s="44">
        <v>206005</v>
      </c>
      <c r="K18" s="44">
        <v>84230</v>
      </c>
    </row>
    <row r="20" spans="1:11" ht="26" customHeight="1" x14ac:dyDescent="0.2">
      <c r="A20" s="64" t="s">
        <v>18</v>
      </c>
      <c r="B20" s="46"/>
      <c r="C20" s="46"/>
      <c r="D20" s="46"/>
      <c r="E20" s="46"/>
      <c r="F20" s="46"/>
      <c r="G20" s="46"/>
      <c r="H20" s="46"/>
      <c r="I20" s="46"/>
      <c r="J20" s="46"/>
      <c r="K20" s="46"/>
    </row>
    <row r="21" spans="1:11" ht="20" customHeight="1" x14ac:dyDescent="0.2">
      <c r="A21" s="65" t="s">
        <v>19</v>
      </c>
      <c r="B21" s="46"/>
      <c r="C21" s="46"/>
      <c r="D21" s="46"/>
      <c r="E21" s="46"/>
      <c r="F21" s="46"/>
      <c r="G21" s="46"/>
      <c r="H21" s="57">
        <v>121775</v>
      </c>
      <c r="I21" s="46"/>
      <c r="J21" s="59" t="s">
        <v>20</v>
      </c>
      <c r="K21" s="46"/>
    </row>
    <row r="22" spans="1:11" ht="20" customHeight="1" x14ac:dyDescent="0.2">
      <c r="A22" s="49" t="s">
        <v>21</v>
      </c>
      <c r="B22" s="46"/>
      <c r="C22" s="46"/>
      <c r="D22" s="46"/>
      <c r="E22" s="46"/>
      <c r="F22" s="46"/>
      <c r="G22" s="46"/>
      <c r="H22" s="61">
        <v>5000</v>
      </c>
      <c r="I22" s="46"/>
      <c r="J22" s="58" t="s">
        <v>22</v>
      </c>
      <c r="K22" s="46"/>
    </row>
    <row r="23" spans="1:11" ht="20" customHeight="1" x14ac:dyDescent="0.2">
      <c r="A23" s="65" t="s">
        <v>23</v>
      </c>
      <c r="B23" s="46"/>
      <c r="C23" s="46"/>
      <c r="D23" s="46"/>
      <c r="E23" s="46"/>
      <c r="F23" s="46"/>
      <c r="G23" s="46"/>
      <c r="H23" s="57">
        <v>10000</v>
      </c>
      <c r="I23" s="46"/>
      <c r="J23" s="59" t="s">
        <v>22</v>
      </c>
      <c r="K23" s="46"/>
    </row>
    <row r="24" spans="1:11" ht="20" customHeight="1" x14ac:dyDescent="0.2">
      <c r="A24" s="49" t="s">
        <v>24</v>
      </c>
      <c r="B24" s="46"/>
      <c r="C24" s="46"/>
      <c r="D24" s="46"/>
      <c r="E24" s="46"/>
      <c r="F24" s="46"/>
      <c r="G24" s="46"/>
      <c r="H24" s="61">
        <v>20000</v>
      </c>
      <c r="I24" s="46"/>
      <c r="J24" s="58" t="s">
        <v>25</v>
      </c>
      <c r="K24" s="46"/>
    </row>
    <row r="25" spans="1:11" ht="20" customHeight="1" x14ac:dyDescent="0.2">
      <c r="A25" s="62" t="s">
        <v>26</v>
      </c>
      <c r="B25" s="46"/>
      <c r="C25" s="46"/>
      <c r="D25" s="46"/>
      <c r="E25" s="46"/>
      <c r="F25" s="46"/>
      <c r="G25" s="46"/>
      <c r="H25" s="55">
        <v>35000</v>
      </c>
      <c r="I25" s="46"/>
      <c r="J25" s="59" t="s">
        <v>27</v>
      </c>
      <c r="K25" s="46"/>
    </row>
    <row r="26" spans="1:11" ht="20" customHeight="1" x14ac:dyDescent="0.2">
      <c r="A26" s="70" t="s">
        <v>28</v>
      </c>
      <c r="B26" s="46"/>
      <c r="C26" s="46"/>
      <c r="D26" s="46"/>
      <c r="E26" s="46"/>
      <c r="F26" s="46"/>
      <c r="G26" s="46"/>
      <c r="H26" s="67">
        <v>206005</v>
      </c>
      <c r="I26" s="46"/>
      <c r="J26" s="60"/>
      <c r="K26" s="46"/>
    </row>
    <row r="27" spans="1:11" ht="20" customHeight="1" x14ac:dyDescent="0.2">
      <c r="A27" s="65" t="s">
        <v>29</v>
      </c>
      <c r="B27" s="46"/>
      <c r="C27" s="46"/>
      <c r="D27" s="46"/>
      <c r="E27" s="46"/>
      <c r="F27" s="46"/>
      <c r="G27" s="46"/>
      <c r="H27" s="57">
        <v>12360.3</v>
      </c>
      <c r="I27" s="46"/>
      <c r="J27" s="59" t="s">
        <v>30</v>
      </c>
      <c r="K27" s="46"/>
    </row>
    <row r="29" spans="1:11" ht="30" customHeight="1" x14ac:dyDescent="0.2">
      <c r="A29" s="68" t="s">
        <v>31</v>
      </c>
      <c r="B29" s="46"/>
      <c r="C29" s="46"/>
      <c r="D29" s="46"/>
      <c r="E29" s="46"/>
      <c r="F29" s="46"/>
      <c r="G29" s="46"/>
      <c r="H29" s="46"/>
      <c r="I29" s="46"/>
      <c r="J29" s="46"/>
      <c r="K29" s="46"/>
    </row>
    <row r="30" spans="1:11" ht="20" customHeight="1" x14ac:dyDescent="0.2">
      <c r="A30" s="47" t="s">
        <v>32</v>
      </c>
      <c r="B30" s="46"/>
      <c r="C30" s="46"/>
      <c r="D30" s="46"/>
      <c r="E30" s="46"/>
      <c r="F30" s="46"/>
      <c r="G30" s="46"/>
      <c r="H30" s="52">
        <v>206005</v>
      </c>
      <c r="I30" s="46"/>
      <c r="J30" s="46"/>
      <c r="K30" s="46"/>
    </row>
    <row r="31" spans="1:11" ht="20" customHeight="1" x14ac:dyDescent="0.2">
      <c r="A31" s="47" t="s">
        <v>33</v>
      </c>
      <c r="B31" s="46"/>
      <c r="C31" s="46"/>
      <c r="D31" s="46"/>
      <c r="E31" s="46"/>
      <c r="F31" s="46"/>
      <c r="G31" s="46"/>
      <c r="H31" s="52">
        <v>121775</v>
      </c>
      <c r="I31" s="46"/>
      <c r="J31" s="46"/>
      <c r="K31" s="46"/>
    </row>
    <row r="32" spans="1:11" ht="20" customHeight="1" x14ac:dyDescent="0.2">
      <c r="A32" s="47" t="s">
        <v>34</v>
      </c>
      <c r="B32" s="46"/>
      <c r="C32" s="46"/>
      <c r="D32" s="46"/>
      <c r="E32" s="46"/>
      <c r="F32" s="46"/>
      <c r="G32" s="46"/>
      <c r="H32" s="52">
        <v>35000</v>
      </c>
      <c r="I32" s="46"/>
      <c r="J32" s="46"/>
      <c r="K32" s="46"/>
    </row>
    <row r="33" spans="1:11" ht="20" customHeight="1" x14ac:dyDescent="0.2">
      <c r="A33" s="47" t="s">
        <v>35</v>
      </c>
      <c r="B33" s="46"/>
      <c r="C33" s="46"/>
      <c r="D33" s="46"/>
      <c r="E33" s="46"/>
      <c r="F33" s="46"/>
      <c r="G33" s="46"/>
      <c r="H33" s="52">
        <v>12360.3</v>
      </c>
      <c r="I33" s="46"/>
      <c r="J33" s="46"/>
      <c r="K33" s="46"/>
    </row>
    <row r="34" spans="1:11" ht="34" customHeight="1" x14ac:dyDescent="0.2">
      <c r="A34" s="91" t="s">
        <v>92</v>
      </c>
      <c r="B34" s="46"/>
      <c r="C34" s="46"/>
      <c r="D34" s="46"/>
      <c r="E34" s="46"/>
      <c r="F34" s="46"/>
      <c r="G34" s="46"/>
      <c r="H34" s="56">
        <v>36869.699999999997</v>
      </c>
      <c r="I34" s="46"/>
      <c r="J34" s="92" t="s">
        <v>36</v>
      </c>
      <c r="K34" s="46"/>
    </row>
    <row r="36" spans="1:11" ht="26" customHeight="1" x14ac:dyDescent="0.2">
      <c r="A36" s="51" t="s">
        <v>37</v>
      </c>
      <c r="B36" s="46"/>
      <c r="C36" s="46"/>
      <c r="D36" s="46"/>
      <c r="E36" s="46"/>
      <c r="F36" s="46"/>
      <c r="G36" s="46"/>
      <c r="H36" s="46"/>
      <c r="I36" s="46"/>
      <c r="J36" s="46"/>
      <c r="K36" s="46"/>
    </row>
    <row r="37" spans="1:11" ht="20" customHeight="1" x14ac:dyDescent="0.2">
      <c r="A37" s="48" t="s">
        <v>38</v>
      </c>
      <c r="B37" s="46"/>
      <c r="C37" s="46"/>
      <c r="D37" s="46"/>
      <c r="E37" s="46"/>
      <c r="F37" s="46"/>
      <c r="G37" s="46"/>
      <c r="H37" s="46"/>
      <c r="I37" s="46"/>
      <c r="J37" s="46"/>
      <c r="K37" s="46"/>
    </row>
    <row r="38" spans="1:11" ht="20" customHeight="1" x14ac:dyDescent="0.2">
      <c r="A38" s="69" t="s">
        <v>39</v>
      </c>
      <c r="B38" s="46"/>
      <c r="C38" s="46"/>
      <c r="D38" s="46"/>
      <c r="E38" s="46"/>
      <c r="F38" s="46"/>
      <c r="G38" s="46"/>
      <c r="H38" s="46"/>
      <c r="I38" s="46"/>
      <c r="J38" s="46"/>
      <c r="K38" s="46"/>
    </row>
    <row r="39" spans="1:11" ht="20" customHeight="1" x14ac:dyDescent="0.2">
      <c r="A39" s="48" t="s">
        <v>40</v>
      </c>
      <c r="B39" s="46"/>
      <c r="C39" s="46"/>
      <c r="D39" s="46"/>
      <c r="E39" s="46"/>
      <c r="F39" s="46"/>
      <c r="G39" s="46"/>
      <c r="H39" s="46"/>
      <c r="I39" s="46"/>
      <c r="J39" s="46"/>
      <c r="K39" s="46"/>
    </row>
    <row r="40" spans="1:11" ht="20" customHeight="1" x14ac:dyDescent="0.2">
      <c r="A40" s="93" t="s">
        <v>41</v>
      </c>
      <c r="B40" s="46"/>
      <c r="C40" s="46"/>
      <c r="D40" s="46"/>
      <c r="E40" s="46"/>
      <c r="F40" s="46"/>
      <c r="G40" s="46"/>
      <c r="H40" s="46"/>
      <c r="I40" s="46"/>
      <c r="J40" s="46"/>
      <c r="K40" s="46"/>
    </row>
  </sheetData>
  <mergeCells count="45">
    <mergeCell ref="A40:K40"/>
    <mergeCell ref="A23:G23"/>
    <mergeCell ref="A38:K38"/>
    <mergeCell ref="A26:G26"/>
    <mergeCell ref="H23:I23"/>
    <mergeCell ref="H32:K32"/>
    <mergeCell ref="J23:K23"/>
    <mergeCell ref="A33:G33"/>
    <mergeCell ref="J2:K2"/>
    <mergeCell ref="A21:G21"/>
    <mergeCell ref="H24:I24"/>
    <mergeCell ref="H26:I26"/>
    <mergeCell ref="A29:K29"/>
    <mergeCell ref="A1:K1"/>
    <mergeCell ref="A2:C2"/>
    <mergeCell ref="H25:I25"/>
    <mergeCell ref="H34:I34"/>
    <mergeCell ref="H21:I21"/>
    <mergeCell ref="J34:K34"/>
    <mergeCell ref="H30:K30"/>
    <mergeCell ref="A31:G31"/>
    <mergeCell ref="J24:K24"/>
    <mergeCell ref="A34:G34"/>
    <mergeCell ref="A24:G24"/>
    <mergeCell ref="A30:G30"/>
    <mergeCell ref="J27:K27"/>
    <mergeCell ref="J26:K26"/>
    <mergeCell ref="H31:K31"/>
    <mergeCell ref="J25:K25"/>
    <mergeCell ref="D2:F2"/>
    <mergeCell ref="A32:G32"/>
    <mergeCell ref="A39:K39"/>
    <mergeCell ref="A22:G22"/>
    <mergeCell ref="A18:C18"/>
    <mergeCell ref="A36:K36"/>
    <mergeCell ref="H33:K33"/>
    <mergeCell ref="A37:K37"/>
    <mergeCell ref="H22:I22"/>
    <mergeCell ref="A25:G25"/>
    <mergeCell ref="J22:K22"/>
    <mergeCell ref="H27:I27"/>
    <mergeCell ref="G2:I2"/>
    <mergeCell ref="J21:K21"/>
    <mergeCell ref="A20:K20"/>
    <mergeCell ref="A27:G2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41"/>
  <sheetViews>
    <sheetView showGridLines="0" topLeftCell="A3" zoomScale="131" zoomScaleNormal="131" workbookViewId="0">
      <selection activeCell="A37" sqref="A37:K37"/>
    </sheetView>
  </sheetViews>
  <sheetFormatPr baseColWidth="10" defaultColWidth="8.83203125" defaultRowHeight="15" x14ac:dyDescent="0.2"/>
  <cols>
    <col min="1" max="1" width="42" customWidth="1"/>
    <col min="2" max="2" width="22" customWidth="1"/>
    <col min="3" max="3" width="28" customWidth="1"/>
  </cols>
  <sheetData>
    <row r="1" spans="1:7" ht="34" customHeight="1" x14ac:dyDescent="0.2">
      <c r="A1" s="78" t="s">
        <v>42</v>
      </c>
      <c r="B1" s="46"/>
      <c r="C1" s="46"/>
    </row>
    <row r="2" spans="1:7" ht="22" customHeight="1" x14ac:dyDescent="0.2">
      <c r="A2" s="1" t="s">
        <v>43</v>
      </c>
      <c r="B2" s="2" t="s">
        <v>44</v>
      </c>
      <c r="C2" s="1" t="s">
        <v>45</v>
      </c>
    </row>
    <row r="3" spans="1:7" ht="24" customHeight="1" x14ac:dyDescent="0.2">
      <c r="A3" s="83" t="s">
        <v>46</v>
      </c>
      <c r="B3" s="73"/>
    </row>
    <row r="4" spans="1:7" ht="20" customHeight="1" x14ac:dyDescent="0.2">
      <c r="A4" s="3" t="s">
        <v>47</v>
      </c>
      <c r="B4" s="4">
        <v>14</v>
      </c>
      <c r="C4" s="5"/>
      <c r="F4">
        <v>450</v>
      </c>
      <c r="G4">
        <v>2250</v>
      </c>
    </row>
    <row r="5" spans="1:7" ht="20" customHeight="1" x14ac:dyDescent="0.2">
      <c r="A5" s="6" t="s">
        <v>48</v>
      </c>
      <c r="B5" s="7">
        <v>40</v>
      </c>
      <c r="C5" s="5"/>
    </row>
    <row r="6" spans="1:7" ht="20" customHeight="1" x14ac:dyDescent="0.2">
      <c r="A6" s="3" t="s">
        <v>49</v>
      </c>
      <c r="B6" s="8">
        <v>229.98</v>
      </c>
      <c r="C6" s="5"/>
    </row>
    <row r="7" spans="1:7" ht="24" customHeight="1" x14ac:dyDescent="0.2">
      <c r="A7" s="77" t="s">
        <v>50</v>
      </c>
      <c r="B7" s="73"/>
    </row>
    <row r="8" spans="1:7" ht="20" customHeight="1" x14ac:dyDescent="0.2">
      <c r="A8" s="3" t="s">
        <v>51</v>
      </c>
      <c r="B8" s="9">
        <v>121775</v>
      </c>
      <c r="C8" s="10" t="s">
        <v>20</v>
      </c>
    </row>
    <row r="9" spans="1:7" ht="20" customHeight="1" x14ac:dyDescent="0.2">
      <c r="A9" s="6" t="s">
        <v>52</v>
      </c>
      <c r="B9" s="11">
        <v>18880</v>
      </c>
      <c r="C9" s="12" t="s">
        <v>53</v>
      </c>
    </row>
    <row r="10" spans="1:7" ht="20" customHeight="1" x14ac:dyDescent="0.2">
      <c r="A10" s="3" t="s">
        <v>54</v>
      </c>
      <c r="B10" s="9">
        <v>5000</v>
      </c>
      <c r="C10" s="10" t="s">
        <v>55</v>
      </c>
    </row>
    <row r="11" spans="1:7" ht="20" customHeight="1" x14ac:dyDescent="0.2">
      <c r="A11" s="13" t="s">
        <v>56</v>
      </c>
      <c r="B11" s="14">
        <v>145655</v>
      </c>
      <c r="C11" s="12" t="s">
        <v>57</v>
      </c>
    </row>
    <row r="12" spans="1:7" ht="20" customHeight="1" x14ac:dyDescent="0.2">
      <c r="A12" s="3" t="s">
        <v>23</v>
      </c>
      <c r="B12" s="9">
        <v>10000</v>
      </c>
      <c r="C12" s="10" t="s">
        <v>22</v>
      </c>
    </row>
    <row r="13" spans="1:7" ht="20" customHeight="1" x14ac:dyDescent="0.2">
      <c r="A13" s="15" t="s">
        <v>58</v>
      </c>
      <c r="B13" s="16">
        <v>155655</v>
      </c>
      <c r="C13" s="5"/>
    </row>
    <row r="14" spans="1:7" ht="24" customHeight="1" x14ac:dyDescent="0.2">
      <c r="A14" s="82" t="s">
        <v>59</v>
      </c>
      <c r="B14" s="73"/>
    </row>
    <row r="15" spans="1:7" ht="20" customHeight="1" x14ac:dyDescent="0.2">
      <c r="A15" s="17" t="s">
        <v>60</v>
      </c>
      <c r="B15" s="18">
        <v>217917</v>
      </c>
      <c r="C15" s="12" t="s">
        <v>61</v>
      </c>
    </row>
    <row r="16" spans="1:7" ht="24" customHeight="1" x14ac:dyDescent="0.2">
      <c r="A16" s="75" t="s">
        <v>62</v>
      </c>
      <c r="B16" s="73"/>
    </row>
    <row r="17" spans="1:3" ht="20" customHeight="1" x14ac:dyDescent="0.2">
      <c r="A17" s="6" t="s">
        <v>63</v>
      </c>
      <c r="B17" s="11">
        <v>13075</v>
      </c>
      <c r="C17" s="12" t="s">
        <v>64</v>
      </c>
    </row>
    <row r="18" spans="1:3" ht="20" customHeight="1" x14ac:dyDescent="0.2">
      <c r="A18" s="3" t="s">
        <v>65</v>
      </c>
      <c r="B18" s="9">
        <v>204841</v>
      </c>
      <c r="C18" s="5"/>
    </row>
    <row r="20" spans="1:3" ht="30" customHeight="1" x14ac:dyDescent="0.2">
      <c r="A20" s="71" t="s">
        <v>66</v>
      </c>
      <c r="B20" s="72"/>
      <c r="C20" s="73"/>
    </row>
    <row r="21" spans="1:3" ht="20" customHeight="1" x14ac:dyDescent="0.2">
      <c r="A21" s="19" t="s">
        <v>32</v>
      </c>
      <c r="B21" s="20">
        <v>217917</v>
      </c>
      <c r="C21" s="5"/>
    </row>
    <row r="22" spans="1:3" ht="20" customHeight="1" x14ac:dyDescent="0.2">
      <c r="A22" s="19" t="s">
        <v>67</v>
      </c>
      <c r="B22" s="20">
        <v>145655</v>
      </c>
      <c r="C22" s="5"/>
    </row>
    <row r="23" spans="1:3" ht="20" customHeight="1" x14ac:dyDescent="0.2">
      <c r="A23" s="19" t="s">
        <v>35</v>
      </c>
      <c r="B23" s="20">
        <v>13075</v>
      </c>
      <c r="C23" s="5"/>
    </row>
    <row r="24" spans="1:3" ht="30" customHeight="1" x14ac:dyDescent="0.2">
      <c r="A24" s="81" t="s">
        <v>68</v>
      </c>
      <c r="B24" s="21">
        <f>B21-B22-B23</f>
        <v>59187</v>
      </c>
      <c r="C24" s="22" t="s">
        <v>69</v>
      </c>
    </row>
    <row r="26" spans="1:3" ht="24" customHeight="1" x14ac:dyDescent="0.2">
      <c r="A26" s="74" t="s">
        <v>70</v>
      </c>
      <c r="B26" s="73"/>
    </row>
    <row r="27" spans="1:3" ht="20" customHeight="1" x14ac:dyDescent="0.2"/>
    <row r="28" spans="1:3" ht="18" customHeight="1" x14ac:dyDescent="0.2">
      <c r="A28" s="80" t="s">
        <v>71</v>
      </c>
      <c r="B28" s="73"/>
    </row>
    <row r="29" spans="1:3" ht="18" customHeight="1" x14ac:dyDescent="0.2">
      <c r="A29" s="76" t="s">
        <v>72</v>
      </c>
      <c r="B29" s="72"/>
      <c r="C29" s="73"/>
    </row>
    <row r="30" spans="1:3" ht="18" customHeight="1" x14ac:dyDescent="0.2">
      <c r="A30" s="79"/>
      <c r="B30" s="72"/>
      <c r="C30" s="73"/>
    </row>
    <row r="31" spans="1:3" ht="20" customHeight="1" x14ac:dyDescent="0.2">
      <c r="A31" s="76" t="s">
        <v>73</v>
      </c>
      <c r="B31" s="72"/>
      <c r="C31" s="73"/>
    </row>
    <row r="32" spans="1:3" ht="18" customHeight="1" x14ac:dyDescent="0.2">
      <c r="A32" s="79" t="s">
        <v>74</v>
      </c>
      <c r="B32" s="72"/>
      <c r="C32" s="73"/>
    </row>
    <row r="33" spans="1:10" ht="18" customHeight="1" x14ac:dyDescent="0.2">
      <c r="A33" s="76" t="s">
        <v>75</v>
      </c>
      <c r="B33" s="72"/>
      <c r="C33" s="73"/>
    </row>
    <row r="34" spans="1:10" ht="18" customHeight="1" x14ac:dyDescent="0.2">
      <c r="A34" t="s">
        <v>92</v>
      </c>
      <c r="H34">
        <v>36869.699999999997</v>
      </c>
      <c r="J34" t="s">
        <v>36</v>
      </c>
    </row>
    <row r="36" spans="1:10" ht="24" customHeight="1" x14ac:dyDescent="0.2"/>
    <row r="37" spans="1:10" ht="20" customHeight="1" x14ac:dyDescent="0.2"/>
    <row r="38" spans="1:10" ht="20" customHeight="1" x14ac:dyDescent="0.2"/>
    <row r="39" spans="1:10" ht="20" customHeight="1" x14ac:dyDescent="0.2"/>
    <row r="40" spans="1:10" ht="20" customHeight="1" x14ac:dyDescent="0.2"/>
    <row r="41" spans="1:10" ht="20" customHeight="1" x14ac:dyDescent="0.2"/>
  </sheetData>
  <mergeCells count="14">
    <mergeCell ref="A1:C1"/>
    <mergeCell ref="A32:C32"/>
    <mergeCell ref="A31:C31"/>
    <mergeCell ref="A28:B28"/>
    <mergeCell ref="A24"/>
    <mergeCell ref="A14:B14"/>
    <mergeCell ref="A30:C30"/>
    <mergeCell ref="A29:C29"/>
    <mergeCell ref="A3:B3"/>
    <mergeCell ref="A20:C20"/>
    <mergeCell ref="A26:B26"/>
    <mergeCell ref="A16:B16"/>
    <mergeCell ref="A33:C33"/>
    <mergeCell ref="A7:B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7"/>
  <sheetViews>
    <sheetView showGridLines="0" topLeftCell="D1" zoomScale="135" workbookViewId="0">
      <pane ySplit="2" topLeftCell="A3" activePane="bottomLeft" state="frozen"/>
      <selection pane="bottomLeft" activeCell="K3" sqref="K3:K16"/>
    </sheetView>
  </sheetViews>
  <sheetFormatPr baseColWidth="10" defaultColWidth="8.83203125" defaultRowHeight="15" x14ac:dyDescent="0.2"/>
  <cols>
    <col min="1" max="1" width="10" customWidth="1"/>
    <col min="2" max="2" width="8" customWidth="1"/>
    <col min="3" max="3" width="9" customWidth="1"/>
    <col min="4" max="4" width="12" customWidth="1"/>
    <col min="5" max="5" width="16" customWidth="1"/>
    <col min="6" max="6" width="10" customWidth="1"/>
    <col min="7" max="7" width="9" customWidth="1"/>
    <col min="8" max="8" width="16" customWidth="1"/>
    <col min="9" max="9" width="20" customWidth="1"/>
    <col min="10" max="10" width="14" customWidth="1"/>
    <col min="11" max="11" width="19" customWidth="1"/>
    <col min="12" max="12" width="18" customWidth="1"/>
    <col min="13" max="13" width="14" customWidth="1"/>
    <col min="14" max="14" width="18" customWidth="1"/>
  </cols>
  <sheetData>
    <row r="1" spans="1:14" ht="22" customHeight="1" x14ac:dyDescent="0.2">
      <c r="A1" s="85" t="s">
        <v>76</v>
      </c>
      <c r="B1" s="72"/>
      <c r="C1" s="73"/>
      <c r="D1" s="86" t="s">
        <v>2</v>
      </c>
      <c r="E1" s="73"/>
      <c r="F1" s="84" t="s">
        <v>77</v>
      </c>
      <c r="G1" s="87" t="s">
        <v>78</v>
      </c>
      <c r="H1" s="73"/>
      <c r="I1" s="90" t="s">
        <v>79</v>
      </c>
      <c r="J1" s="73"/>
      <c r="K1" s="88" t="s">
        <v>80</v>
      </c>
      <c r="L1" s="84" t="s">
        <v>81</v>
      </c>
      <c r="M1" s="89" t="s">
        <v>4</v>
      </c>
      <c r="N1" s="73"/>
    </row>
    <row r="2" spans="1:14" ht="44" customHeight="1" x14ac:dyDescent="0.2">
      <c r="A2" s="2" t="s">
        <v>5</v>
      </c>
      <c r="B2" s="2" t="s">
        <v>6</v>
      </c>
      <c r="C2" s="2" t="s">
        <v>7</v>
      </c>
      <c r="D2" s="2" t="s">
        <v>82</v>
      </c>
      <c r="E2" s="2" t="s">
        <v>83</v>
      </c>
      <c r="F2" s="2" t="s">
        <v>84</v>
      </c>
      <c r="G2" s="2" t="s">
        <v>85</v>
      </c>
      <c r="H2" s="2" t="s">
        <v>86</v>
      </c>
      <c r="I2" s="2" t="s">
        <v>87</v>
      </c>
      <c r="J2" s="2" t="s">
        <v>88</v>
      </c>
      <c r="K2" s="2" t="s">
        <v>89</v>
      </c>
      <c r="L2" s="2" t="s">
        <v>90</v>
      </c>
      <c r="M2" s="2" t="s">
        <v>12</v>
      </c>
      <c r="N2" s="2" t="s">
        <v>15</v>
      </c>
    </row>
    <row r="3" spans="1:14" ht="18" customHeight="1" x14ac:dyDescent="0.2">
      <c r="A3" s="24">
        <v>8</v>
      </c>
      <c r="B3" s="24">
        <v>5</v>
      </c>
      <c r="C3" s="24">
        <v>8</v>
      </c>
      <c r="D3" s="25">
        <v>250</v>
      </c>
      <c r="E3" s="25">
        <v>1250</v>
      </c>
      <c r="F3" s="25">
        <v>472</v>
      </c>
      <c r="G3" s="26">
        <v>0.33</v>
      </c>
      <c r="H3" s="26">
        <v>13.04</v>
      </c>
      <c r="I3" s="25">
        <v>283.5</v>
      </c>
      <c r="J3" s="25">
        <v>35.44</v>
      </c>
      <c r="K3" s="25">
        <v>1757.44</v>
      </c>
      <c r="L3" s="25">
        <v>2460.41</v>
      </c>
      <c r="M3" s="25">
        <v>702.98</v>
      </c>
      <c r="N3" s="25">
        <v>5623.8</v>
      </c>
    </row>
    <row r="4" spans="1:14" ht="18" customHeight="1" x14ac:dyDescent="0.2">
      <c r="A4" s="27">
        <v>8</v>
      </c>
      <c r="B4" s="27">
        <v>10</v>
      </c>
      <c r="C4" s="27">
        <v>6</v>
      </c>
      <c r="D4" s="28">
        <v>250</v>
      </c>
      <c r="E4" s="28">
        <v>2500</v>
      </c>
      <c r="F4" s="28">
        <v>472</v>
      </c>
      <c r="G4" s="29">
        <v>0.33</v>
      </c>
      <c r="H4" s="29">
        <v>19.559999999999999</v>
      </c>
      <c r="I4" s="28">
        <v>425.25</v>
      </c>
      <c r="J4" s="28">
        <v>70.88</v>
      </c>
      <c r="K4" s="28">
        <v>3042.88</v>
      </c>
      <c r="L4" s="28">
        <v>4260.03</v>
      </c>
      <c r="M4" s="28">
        <v>1217.1500000000001</v>
      </c>
      <c r="N4" s="28">
        <v>7302.9</v>
      </c>
    </row>
    <row r="5" spans="1:14" ht="18" customHeight="1" x14ac:dyDescent="0.2">
      <c r="A5" s="24">
        <v>6</v>
      </c>
      <c r="B5" s="24">
        <v>5</v>
      </c>
      <c r="C5" s="24">
        <v>4</v>
      </c>
      <c r="D5" s="25">
        <v>180</v>
      </c>
      <c r="E5" s="25">
        <v>900</v>
      </c>
      <c r="F5" s="25">
        <v>472</v>
      </c>
      <c r="G5" s="26">
        <v>0.19</v>
      </c>
      <c r="H5" s="26">
        <v>3.74</v>
      </c>
      <c r="I5" s="25">
        <v>81.31</v>
      </c>
      <c r="J5" s="25">
        <v>20.329999999999998</v>
      </c>
      <c r="K5" s="25">
        <v>1392.33</v>
      </c>
      <c r="L5" s="25">
        <v>1949.26</v>
      </c>
      <c r="M5" s="25">
        <v>556.92999999999995</v>
      </c>
      <c r="N5" s="25">
        <v>2227.7199999999998</v>
      </c>
    </row>
    <row r="6" spans="1:14" ht="18" customHeight="1" x14ac:dyDescent="0.2">
      <c r="A6" s="27">
        <v>6</v>
      </c>
      <c r="B6" s="27">
        <v>10</v>
      </c>
      <c r="C6" s="27">
        <v>2</v>
      </c>
      <c r="D6" s="28">
        <v>180</v>
      </c>
      <c r="E6" s="28">
        <v>1800</v>
      </c>
      <c r="F6" s="28">
        <v>472</v>
      </c>
      <c r="G6" s="29">
        <v>0.19</v>
      </c>
      <c r="H6" s="29">
        <v>3.74</v>
      </c>
      <c r="I6" s="28">
        <v>81.31</v>
      </c>
      <c r="J6" s="28">
        <v>40.659999999999997</v>
      </c>
      <c r="K6" s="28">
        <v>2312.66</v>
      </c>
      <c r="L6" s="28">
        <v>3237.72</v>
      </c>
      <c r="M6" s="28">
        <v>925.06</v>
      </c>
      <c r="N6" s="28">
        <v>1850.12</v>
      </c>
    </row>
    <row r="7" spans="1:14" ht="18" customHeight="1" x14ac:dyDescent="0.2">
      <c r="A7" s="24">
        <v>10</v>
      </c>
      <c r="B7" s="24">
        <v>5</v>
      </c>
      <c r="C7" s="24">
        <v>3</v>
      </c>
      <c r="D7" s="25">
        <v>272</v>
      </c>
      <c r="E7" s="25">
        <v>1360</v>
      </c>
      <c r="F7" s="25">
        <v>472</v>
      </c>
      <c r="G7" s="26">
        <v>0.48</v>
      </c>
      <c r="H7" s="26">
        <v>7.27</v>
      </c>
      <c r="I7" s="25">
        <v>158.16999999999999</v>
      </c>
      <c r="J7" s="25">
        <v>52.72</v>
      </c>
      <c r="K7" s="25">
        <v>1884.72</v>
      </c>
      <c r="L7" s="25">
        <v>2638.61</v>
      </c>
      <c r="M7" s="25">
        <v>753.89</v>
      </c>
      <c r="N7" s="25">
        <v>2261.67</v>
      </c>
    </row>
    <row r="8" spans="1:14" ht="18" customHeight="1" x14ac:dyDescent="0.2">
      <c r="A8" s="27">
        <v>10</v>
      </c>
      <c r="B8" s="27">
        <v>10</v>
      </c>
      <c r="C8" s="27">
        <v>3</v>
      </c>
      <c r="D8" s="28">
        <v>272</v>
      </c>
      <c r="E8" s="28">
        <v>2720</v>
      </c>
      <c r="F8" s="28">
        <v>472</v>
      </c>
      <c r="G8" s="29">
        <v>0.48</v>
      </c>
      <c r="H8" s="29">
        <v>14.55</v>
      </c>
      <c r="I8" s="28">
        <v>316.33</v>
      </c>
      <c r="J8" s="28">
        <v>105.44</v>
      </c>
      <c r="K8" s="28">
        <v>3297.44</v>
      </c>
      <c r="L8" s="28">
        <v>4616.42</v>
      </c>
      <c r="M8" s="28">
        <v>1318.98</v>
      </c>
      <c r="N8" s="28">
        <v>3956.93</v>
      </c>
    </row>
    <row r="9" spans="1:14" ht="18" customHeight="1" x14ac:dyDescent="0.2">
      <c r="A9" s="24">
        <v>10</v>
      </c>
      <c r="B9" s="24">
        <v>15</v>
      </c>
      <c r="C9" s="24">
        <v>2</v>
      </c>
      <c r="D9" s="25">
        <v>272</v>
      </c>
      <c r="E9" s="25">
        <v>4080</v>
      </c>
      <c r="F9" s="25">
        <v>472</v>
      </c>
      <c r="G9" s="26">
        <v>0.48</v>
      </c>
      <c r="H9" s="26">
        <v>14.55</v>
      </c>
      <c r="I9" s="25">
        <v>316.33</v>
      </c>
      <c r="J9" s="25">
        <v>158.16999999999999</v>
      </c>
      <c r="K9" s="25">
        <v>4710.17</v>
      </c>
      <c r="L9" s="25">
        <v>6594.23</v>
      </c>
      <c r="M9" s="25">
        <v>1884.07</v>
      </c>
      <c r="N9" s="25">
        <v>3768.13</v>
      </c>
    </row>
    <row r="10" spans="1:14" ht="18" customHeight="1" x14ac:dyDescent="0.2">
      <c r="A10" s="27">
        <v>12</v>
      </c>
      <c r="B10" s="27">
        <v>10</v>
      </c>
      <c r="C10" s="27">
        <v>3</v>
      </c>
      <c r="D10" s="28">
        <v>322</v>
      </c>
      <c r="E10" s="28">
        <v>3220</v>
      </c>
      <c r="F10" s="28">
        <v>472</v>
      </c>
      <c r="G10" s="29">
        <v>0.7</v>
      </c>
      <c r="H10" s="29">
        <v>21</v>
      </c>
      <c r="I10" s="28">
        <v>456.56</v>
      </c>
      <c r="J10" s="28">
        <v>152.19</v>
      </c>
      <c r="K10" s="28">
        <v>3844.19</v>
      </c>
      <c r="L10" s="28">
        <v>5381.86</v>
      </c>
      <c r="M10" s="28">
        <v>1537.67</v>
      </c>
      <c r="N10" s="28">
        <v>4613.0200000000004</v>
      </c>
    </row>
    <row r="11" spans="1:14" ht="18" customHeight="1" x14ac:dyDescent="0.2">
      <c r="A11" s="24">
        <v>12</v>
      </c>
      <c r="B11" s="24">
        <v>15</v>
      </c>
      <c r="C11" s="24">
        <v>2</v>
      </c>
      <c r="D11" s="25">
        <v>322</v>
      </c>
      <c r="E11" s="25">
        <v>4830</v>
      </c>
      <c r="F11" s="25">
        <v>472</v>
      </c>
      <c r="G11" s="26">
        <v>0.7</v>
      </c>
      <c r="H11" s="26">
        <v>21</v>
      </c>
      <c r="I11" s="25">
        <v>456.56</v>
      </c>
      <c r="J11" s="25">
        <v>228.28</v>
      </c>
      <c r="K11" s="25">
        <v>5530.28</v>
      </c>
      <c r="L11" s="25">
        <v>7742.39</v>
      </c>
      <c r="M11" s="25">
        <v>2212.11</v>
      </c>
      <c r="N11" s="25">
        <v>4424.22</v>
      </c>
    </row>
    <row r="12" spans="1:14" ht="18" customHeight="1" x14ac:dyDescent="0.2">
      <c r="A12" s="27">
        <v>12</v>
      </c>
      <c r="B12" s="27">
        <v>20</v>
      </c>
      <c r="C12" s="27">
        <v>2</v>
      </c>
      <c r="D12" s="28">
        <v>322</v>
      </c>
      <c r="E12" s="28">
        <v>6440</v>
      </c>
      <c r="F12" s="28">
        <v>472</v>
      </c>
      <c r="G12" s="29">
        <v>0.7</v>
      </c>
      <c r="H12" s="29">
        <v>28</v>
      </c>
      <c r="I12" s="28">
        <v>608.75</v>
      </c>
      <c r="J12" s="28">
        <v>304.37</v>
      </c>
      <c r="K12" s="28">
        <v>7216.37</v>
      </c>
      <c r="L12" s="28">
        <v>10102.92</v>
      </c>
      <c r="M12" s="28">
        <v>2886.55</v>
      </c>
      <c r="N12" s="28">
        <v>5773.1</v>
      </c>
    </row>
    <row r="13" spans="1:14" ht="18" customHeight="1" x14ac:dyDescent="0.2">
      <c r="A13" s="24">
        <v>14</v>
      </c>
      <c r="B13" s="24">
        <v>15</v>
      </c>
      <c r="C13" s="24">
        <v>2</v>
      </c>
      <c r="D13" s="25">
        <v>470</v>
      </c>
      <c r="E13" s="25">
        <v>7050</v>
      </c>
      <c r="F13" s="25">
        <v>472</v>
      </c>
      <c r="G13" s="26">
        <v>1.05</v>
      </c>
      <c r="H13" s="26">
        <v>31.5</v>
      </c>
      <c r="I13" s="25">
        <v>684.84</v>
      </c>
      <c r="J13" s="25">
        <v>342.42</v>
      </c>
      <c r="K13" s="25">
        <v>7864.42</v>
      </c>
      <c r="L13" s="25">
        <v>11010.19</v>
      </c>
      <c r="M13" s="25">
        <v>3145.77</v>
      </c>
      <c r="N13" s="25">
        <v>6291.54</v>
      </c>
    </row>
    <row r="14" spans="1:14" ht="18" customHeight="1" x14ac:dyDescent="0.2">
      <c r="A14" s="27">
        <v>14</v>
      </c>
      <c r="B14" s="27">
        <v>20</v>
      </c>
      <c r="C14" s="27">
        <v>1</v>
      </c>
      <c r="D14" s="28">
        <v>470</v>
      </c>
      <c r="E14" s="28">
        <v>9400</v>
      </c>
      <c r="F14" s="28">
        <v>472</v>
      </c>
      <c r="G14" s="29">
        <v>1.05</v>
      </c>
      <c r="H14" s="29">
        <v>21</v>
      </c>
      <c r="I14" s="28">
        <v>456.56</v>
      </c>
      <c r="J14" s="28">
        <v>456.56</v>
      </c>
      <c r="K14" s="28">
        <v>10328.56</v>
      </c>
      <c r="L14" s="28">
        <v>14459.99</v>
      </c>
      <c r="M14" s="28">
        <v>4131.42</v>
      </c>
      <c r="N14" s="28">
        <v>4131.42</v>
      </c>
    </row>
    <row r="15" spans="1:14" ht="18" customHeight="1" x14ac:dyDescent="0.2">
      <c r="A15" s="24">
        <v>16</v>
      </c>
      <c r="B15" s="24">
        <v>10</v>
      </c>
      <c r="C15" s="24">
        <v>1</v>
      </c>
      <c r="D15" s="25">
        <v>539</v>
      </c>
      <c r="E15" s="25">
        <v>5390</v>
      </c>
      <c r="F15" s="25">
        <v>472</v>
      </c>
      <c r="G15" s="26">
        <v>1.24</v>
      </c>
      <c r="H15" s="26">
        <v>12.41</v>
      </c>
      <c r="I15" s="25">
        <v>269.81</v>
      </c>
      <c r="J15" s="25">
        <v>269.81</v>
      </c>
      <c r="K15" s="25">
        <v>6131.81</v>
      </c>
      <c r="L15" s="25">
        <v>8584.5300000000007</v>
      </c>
      <c r="M15" s="25">
        <v>2452.7199999999998</v>
      </c>
      <c r="N15" s="25">
        <v>2452.7199999999998</v>
      </c>
    </row>
    <row r="16" spans="1:14" ht="18" customHeight="1" x14ac:dyDescent="0.2">
      <c r="A16" s="27">
        <v>16</v>
      </c>
      <c r="B16" s="27">
        <v>15</v>
      </c>
      <c r="C16" s="27">
        <v>1</v>
      </c>
      <c r="D16" s="28">
        <v>539</v>
      </c>
      <c r="E16" s="28">
        <v>8085</v>
      </c>
      <c r="F16" s="28">
        <v>472</v>
      </c>
      <c r="G16" s="29">
        <v>1.24</v>
      </c>
      <c r="H16" s="29">
        <v>18.62</v>
      </c>
      <c r="I16" s="28">
        <v>404.71</v>
      </c>
      <c r="J16" s="28">
        <v>404.71</v>
      </c>
      <c r="K16" s="28">
        <v>8961.7099999999991</v>
      </c>
      <c r="L16" s="28">
        <v>12546.39</v>
      </c>
      <c r="M16" s="28">
        <v>3584.68</v>
      </c>
      <c r="N16" s="28">
        <v>3584.68</v>
      </c>
    </row>
    <row r="17" spans="1:14" ht="22" customHeight="1" x14ac:dyDescent="0.2">
      <c r="A17" s="85" t="s">
        <v>91</v>
      </c>
      <c r="B17" s="72"/>
      <c r="C17" s="73"/>
      <c r="D17" s="23" t="s">
        <v>17</v>
      </c>
      <c r="E17" s="30">
        <v>121775</v>
      </c>
      <c r="F17" s="30">
        <v>18880</v>
      </c>
      <c r="G17" s="23" t="s">
        <v>17</v>
      </c>
      <c r="H17" s="31">
        <v>229.98</v>
      </c>
      <c r="I17" s="30">
        <v>5000</v>
      </c>
      <c r="J17" s="23" t="s">
        <v>17</v>
      </c>
      <c r="K17" s="30">
        <v>145655</v>
      </c>
      <c r="L17" s="30">
        <v>217917</v>
      </c>
      <c r="M17" s="23" t="s">
        <v>17</v>
      </c>
      <c r="N17" s="30">
        <v>59187</v>
      </c>
    </row>
  </sheetData>
  <mergeCells count="9">
    <mergeCell ref="K1"/>
    <mergeCell ref="L1"/>
    <mergeCell ref="M1:N1"/>
    <mergeCell ref="I1:J1"/>
    <mergeCell ref="F1"/>
    <mergeCell ref="A1:C1"/>
    <mergeCell ref="D1:E1"/>
    <mergeCell ref="G1:H1"/>
    <mergeCell ref="A17:C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Реальные рыночные цены</vt:lpstr>
      <vt:lpstr>Сводка</vt:lpstr>
      <vt:lpstr>Товары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Alexey Trushin</cp:lastModifiedBy>
  <dcterms:created xsi:type="dcterms:W3CDTF">2026-04-27T15:54:10Z</dcterms:created>
  <dcterms:modified xsi:type="dcterms:W3CDTF">2026-05-10T07:07:50Z</dcterms:modified>
</cp:coreProperties>
</file>