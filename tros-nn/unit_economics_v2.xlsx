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#,##0 ₽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B7280"/>
      <sz val="9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057"/>
      </patternFill>
    </fill>
    <fill>
      <patternFill patternType="solid">
        <fgColor rgb="002E75B6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375623"/>
      </patternFill>
    </fill>
    <fill>
      <patternFill patternType="solid">
        <fgColor rgb="0015803D"/>
      </patternFill>
    </fill>
    <fill>
      <patternFill patternType="solid">
        <fgColor rgb="00FFFBEB"/>
      </patternFill>
    </fill>
    <fill>
      <patternFill patternType="solid">
        <fgColor rgb="004472C4"/>
      </patternFill>
    </fill>
    <fill>
      <patternFill patternType="solid">
        <fgColor rgb="00F26522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2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 indent="2"/>
    </xf>
    <xf numFmtId="0" fontId="4" fillId="6" borderId="1" applyAlignment="1" pivotButton="0" quotePrefix="0" xfId="0">
      <alignment horizontal="left" vertical="center" indent="2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 indent="2"/>
    </xf>
    <xf numFmtId="165" fontId="4" fillId="5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indent="2"/>
    </xf>
    <xf numFmtId="166" fontId="6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 indent="2"/>
    </xf>
    <xf numFmtId="0" fontId="3" fillId="8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2"/>
    </xf>
    <xf numFmtId="166" fontId="6" fillId="5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2"/>
    </xf>
    <xf numFmtId="166" fontId="4" fillId="1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 indent="2"/>
    </xf>
    <xf numFmtId="0" fontId="7" fillId="9" borderId="1" applyAlignment="1" pivotButton="0" quotePrefix="0" xfId="0">
      <alignment horizontal="left" vertical="center" indent="2"/>
    </xf>
    <xf numFmtId="166" fontId="8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2"/>
    </xf>
    <xf numFmtId="0" fontId="4" fillId="6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indent="2"/>
    </xf>
    <xf numFmtId="0" fontId="9" fillId="14" borderId="1" applyAlignment="1" pivotButton="0" quotePrefix="0" xfId="0">
      <alignment horizontal="center" vertical="center"/>
    </xf>
    <xf numFmtId="3" fontId="9" fillId="14" borderId="1" applyAlignment="1" pivotButton="0" quotePrefix="0" xfId="0">
      <alignment horizontal="center" vertical="center"/>
    </xf>
    <xf numFmtId="166" fontId="9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6" customWidth="1" min="3" max="3"/>
  </cols>
  <sheetData>
    <row r="1" ht="36" customHeight="1">
      <c r="A1" s="1" t="inlineStr">
        <is>
          <t>ЮНИТ-ЭКОНОМИКА — ТРОС NN  (наценка 40%)</t>
        </is>
      </c>
    </row>
    <row r="2" ht="22" customHeight="1">
      <c r="A2" s="2" t="inlineStr">
        <is>
          <t>Показатель</t>
        </is>
      </c>
      <c r="B2" s="3" t="inlineStr">
        <is>
          <t>Значение</t>
        </is>
      </c>
      <c r="C2" s="2" t="inlineStr">
        <is>
          <t>Примечание</t>
        </is>
      </c>
    </row>
    <row r="3" ht="24" customHeight="1">
      <c r="A3" s="4" t="inlineStr">
        <is>
          <t>ЛОГИКА РАСЧЁТА ЦЕН</t>
        </is>
      </c>
    </row>
    <row r="4" ht="20" customHeight="1">
      <c r="A4" s="5" t="inlineStr">
        <is>
          <t>Целевой ROI (на вложенные средства)</t>
        </is>
      </c>
      <c r="B4" s="6" t="n">
        <v>0.4</v>
      </c>
      <c r="C4" s="7" t="inlineStr">
        <is>
          <t>Сколько зарабатываем с каждого вложенного рубля — после всех расходов</t>
        </is>
      </c>
    </row>
    <row r="5" ht="20" customHeight="1">
      <c r="A5" s="8" t="inlineStr">
        <is>
          <t>Налог УСН</t>
        </is>
      </c>
      <c r="B5" s="9" t="n">
        <v>0.06</v>
      </c>
      <c r="C5" s="10" t="inlineStr">
        <is>
          <t>Вычитается из выручки</t>
        </is>
      </c>
    </row>
    <row r="6" ht="20" customHeight="1">
      <c r="A6" s="5" t="inlineStr">
        <is>
          <t>Мультипликатор цены</t>
        </is>
      </c>
      <c r="B6" s="11" t="n">
        <v>1.49</v>
      </c>
      <c r="C6" s="7">
        <f> (1 + 0.4) / (1 − 0.06) = 1.4894</f>
        <v/>
      </c>
    </row>
    <row r="7" ht="20" customHeight="1">
      <c r="A7" s="8" t="inlineStr">
        <is>
          <t>Наценка к полной себестоимости</t>
        </is>
      </c>
      <c r="B7" s="9" t="n">
        <v>0.49</v>
      </c>
      <c r="C7" s="10" t="inlineStr">
        <is>
          <t>Итоговая наценка включает компенсацию налога</t>
        </is>
      </c>
    </row>
    <row r="8" ht="24" customHeight="1">
      <c r="A8" s="4" t="inlineStr">
        <is>
          <t>ВЛОЖЕНИЯ (кол-во = 1 шт каждой позиции)</t>
        </is>
      </c>
    </row>
    <row r="9" ht="20" customHeight="1">
      <c r="A9" s="8" t="inlineStr">
        <is>
          <t>Закупка тросов</t>
        </is>
      </c>
      <c r="B9" s="12" t="n">
        <v>79775</v>
      </c>
      <c r="C9" s="10" t="inlineStr">
        <is>
          <t>Себестоимость всех позиций</t>
        </is>
      </c>
    </row>
    <row r="10" ht="20" customHeight="1">
      <c r="A10" s="5" t="inlineStr">
        <is>
          <t>Доставка</t>
        </is>
      </c>
      <c r="B10" s="13" t="n">
        <v>5000</v>
      </c>
      <c r="C10" s="7" t="inlineStr">
        <is>
          <t>Распределена пропорционально в цены</t>
        </is>
      </c>
    </row>
    <row r="11" ht="20" customHeight="1">
      <c r="A11" s="8" t="inlineStr">
        <is>
          <t>Маркетинг</t>
        </is>
      </c>
      <c r="B11" s="12" t="n">
        <v>10000</v>
      </c>
      <c r="C11" s="10" t="inlineStr">
        <is>
          <t>Распределён пропорционально в цены</t>
        </is>
      </c>
    </row>
    <row r="12" ht="20" customHeight="1">
      <c r="A12" s="14" t="inlineStr">
        <is>
          <t>Итого вложений</t>
        </is>
      </c>
      <c r="B12" s="15" t="n">
        <v>94775</v>
      </c>
      <c r="C12" s="16" t="inlineStr">
        <is>
          <t>Товар + доставка + маркетинг</t>
        </is>
      </c>
    </row>
    <row r="13" ht="24" customHeight="1">
      <c r="A13" s="17" t="inlineStr">
        <is>
          <t>ВЫРУЧКА</t>
        </is>
      </c>
    </row>
    <row r="14" ht="20" customHeight="1">
      <c r="A14" s="18" t="inlineStr">
        <is>
          <t>Общая выручка</t>
        </is>
      </c>
      <c r="B14" s="19" t="n">
        <v>141154.26</v>
      </c>
      <c r="C14" s="7" t="inlineStr">
        <is>
          <t>Себестоимость × 1.4894</t>
        </is>
      </c>
    </row>
    <row r="15" ht="20" customHeight="1">
      <c r="A15" s="8" t="inlineStr">
        <is>
          <t>Налог УСН 6%</t>
        </is>
      </c>
      <c r="B15" s="12" t="n">
        <v>8469.26</v>
      </c>
      <c r="C15" s="10" t="inlineStr">
        <is>
          <t>6% от 141,154 ₽</t>
        </is>
      </c>
    </row>
    <row r="16" ht="20" customHeight="1">
      <c r="A16" s="5" t="inlineStr">
        <is>
          <t>Чистая выручка</t>
        </is>
      </c>
      <c r="B16" s="13" t="n">
        <v>132685</v>
      </c>
      <c r="C16" s="7" t="inlineStr">
        <is>
          <t>После уплаты налога</t>
        </is>
      </c>
    </row>
    <row r="18" ht="30" customHeight="1">
      <c r="A18" s="20" t="inlineStr">
        <is>
          <t>👉  ЧИСТАЯ ПРИБЫЛЬ ПРИ ПРОДАЖЕ ВСЕЙ ПАРТИИ</t>
        </is>
      </c>
    </row>
    <row r="19" ht="20" customHeight="1">
      <c r="A19" s="21" t="inlineStr">
        <is>
          <t>Выручка</t>
        </is>
      </c>
      <c r="B19" s="22" t="n">
        <v>141154.26</v>
      </c>
      <c r="C19" s="23" t="inlineStr"/>
    </row>
    <row r="20" ht="20" customHeight="1">
      <c r="A20" s="21" t="inlineStr">
        <is>
          <t>− Налог УСН 6%</t>
        </is>
      </c>
      <c r="B20" s="22" t="n">
        <v>8469.26</v>
      </c>
      <c r="C20" s="23" t="inlineStr"/>
    </row>
    <row r="21" ht="20" customHeight="1">
      <c r="A21" s="21" t="inlineStr">
        <is>
          <t>− Вложения</t>
        </is>
      </c>
      <c r="B21" s="22" t="n">
        <v>94775</v>
      </c>
      <c r="C21" s="23" t="inlineStr">
        <is>
          <t>Товар + доставка + маркетинг</t>
        </is>
      </c>
    </row>
    <row r="22" ht="34" customHeight="1">
      <c r="A22" s="24">
        <f> ЧИСТАЯ ПРИБЫЛЬ</f>
        <v/>
      </c>
      <c r="B22" s="25" t="n">
        <v>37910</v>
      </c>
      <c r="C22" s="26" t="inlineStr">
        <is>
          <t>ROI = 40.0% от вложений  |  Маржа = 26.9% от выручки</t>
        </is>
      </c>
    </row>
    <row r="24" ht="24" customHeight="1">
      <c r="A24" s="27" t="inlineStr">
        <is>
          <t>АНАЛИТИКА — КАКИЕ ПОЗИЦИИ ВЫГОДНЕЕ</t>
        </is>
      </c>
    </row>
    <row r="25" ht="32" customHeight="1">
      <c r="A25" s="28" t="inlineStr">
        <is>
          <t>ROI на каждую позицию</t>
        </is>
      </c>
      <c r="B25" s="29" t="inlineStr">
        <is>
          <t>Одинаков для всех — ровно 40% от вложенных средств. Это гарантия: каждая позиция окупается с одинаковой отдачей.</t>
        </is>
      </c>
    </row>
    <row r="26" ht="32" customHeight="1">
      <c r="A26" s="18" t="inlineStr">
        <is>
          <t>По абс. прибыли / шт</t>
        </is>
      </c>
      <c r="B26" s="30" t="inlineStr">
        <is>
          <t>14мм×20м — 5,560 ₽/шт  |  12мм×20м — 4,800 ₽/шт  |  16мм×15м — 4,633 ₽/шт</t>
        </is>
      </c>
    </row>
    <row r="27" ht="32" customHeight="1">
      <c r="A27" s="28" t="inlineStr">
        <is>
          <t>Для масштабирования</t>
        </is>
      </c>
      <c r="B27" s="29" t="inlineStr">
        <is>
          <t>8мм×10м — самый ходовой, 1,830 ₽/шт. Высокий объём продаж × хорошая прибыль = лучший выбор для роста.</t>
        </is>
      </c>
    </row>
    <row r="28" ht="32" customHeight="1">
      <c r="A28" s="18" t="inlineStr">
        <is>
          <t>18мм (доп. позиция)</t>
        </is>
      </c>
      <c r="B28" s="30" t="inlineStr">
        <is>
          <t>Прибыль 5,982 ₽/шт (15 м) — максимум в линейке. ROI тот же 40%, но нишевый спрос.</t>
        </is>
      </c>
    </row>
    <row r="29" ht="32" customHeight="1">
      <c r="A29" s="28" t="inlineStr">
        <is>
          <t>Вывод</t>
        </is>
      </c>
      <c r="B29" s="29" t="inlineStr">
        <is>
          <t>Масштабировать: 8мм и 10мм — массовый спрос, стабильный оборот. Максимальный доход: 14мм×20м и 12мм×20м. 18мм добавить при наличии проф. клиентов.</t>
        </is>
      </c>
    </row>
  </sheetData>
  <mergeCells count="11">
    <mergeCell ref="A13:C13"/>
    <mergeCell ref="B29:C29"/>
    <mergeCell ref="A1:C1"/>
    <mergeCell ref="B25:C25"/>
    <mergeCell ref="A8:C8"/>
    <mergeCell ref="B28:C28"/>
    <mergeCell ref="A18:C18"/>
    <mergeCell ref="A3:C3"/>
    <mergeCell ref="B26:C26"/>
    <mergeCell ref="B27:C27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3" customWidth="1" min="4" max="4"/>
    <col width="14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</cols>
  <sheetData>
    <row r="1" ht="22" customHeight="1">
      <c r="A1" s="31" t="inlineStr">
        <is>
          <t>ПОЗИЦИЯ</t>
        </is>
      </c>
      <c r="E1" s="32" t="inlineStr">
        <is>
          <t>СЕБЕСТОИМОСТЬ (с долей доставки и маркетинга)</t>
        </is>
      </c>
      <c r="H1" s="33" t="inlineStr">
        <is>
          <t>ЦЕНА (×1.4894, ROI 40% после налога)</t>
        </is>
      </c>
      <c r="I1" s="34" t="inlineStr">
        <is>
          <t>ПРИБЫЛЬ ПОСЛЕ НАЛОГА</t>
        </is>
      </c>
    </row>
    <row r="2" ht="44" customHeight="1">
      <c r="A2" s="3" t="inlineStr">
        <is>
          <t>Диам.
(мм)</t>
        </is>
      </c>
      <c r="B2" s="3" t="inlineStr">
        <is>
          <t>Длина
(м)</t>
        </is>
      </c>
      <c r="C2" s="3" t="inlineStr">
        <is>
          <t>Кол-во
(шт)</t>
        </is>
      </c>
      <c r="D2" s="3" t="inlineStr">
        <is>
          <t>Себ-ть/м
(₽)</t>
        </is>
      </c>
      <c r="E2" s="3" t="inlineStr">
        <is>
          <t>Себ-ть
троса (₽)</t>
        </is>
      </c>
      <c r="F2" s="3" t="inlineStr">
        <is>
          <t>Доля дост.+
маркет. (₽)</t>
        </is>
      </c>
      <c r="G2" s="3" t="inlineStr">
        <is>
          <t>Полная себ-ть
1 шт (₽)</t>
        </is>
      </c>
      <c r="H2" s="3" t="inlineStr">
        <is>
          <t>Цена
продажи (₽)</t>
        </is>
      </c>
      <c r="I2" s="3" t="inlineStr">
        <is>
          <t>Прибыль
1 шт (₽)</t>
        </is>
      </c>
      <c r="J2" s="3" t="inlineStr">
        <is>
          <t>Прибыль
(с кол-ва)</t>
        </is>
      </c>
    </row>
    <row r="3" ht="18" customHeight="1">
      <c r="A3" s="35" t="n">
        <v>6</v>
      </c>
      <c r="B3" s="35" t="n">
        <v>5</v>
      </c>
      <c r="C3" s="36" t="n">
        <v>1</v>
      </c>
      <c r="D3" s="37" t="n">
        <v>370</v>
      </c>
      <c r="E3" s="37" t="n">
        <v>1850</v>
      </c>
      <c r="F3" s="37" t="n">
        <v>347.85</v>
      </c>
      <c r="G3" s="37" t="n">
        <v>2197.85</v>
      </c>
      <c r="H3" s="37" t="n">
        <v>3273.4</v>
      </c>
      <c r="I3" s="37" t="n">
        <v>879.14</v>
      </c>
      <c r="J3" s="37" t="n">
        <v>879.14</v>
      </c>
    </row>
    <row r="4" ht="18" customHeight="1">
      <c r="A4" s="38" t="n">
        <v>6</v>
      </c>
      <c r="B4" s="38" t="n">
        <v>10</v>
      </c>
      <c r="C4" s="39" t="n">
        <v>1</v>
      </c>
      <c r="D4" s="40" t="n">
        <v>370</v>
      </c>
      <c r="E4" s="40" t="n">
        <v>3700</v>
      </c>
      <c r="F4" s="40" t="n">
        <v>695.71</v>
      </c>
      <c r="G4" s="40" t="n">
        <v>4395.71</v>
      </c>
      <c r="H4" s="40" t="n">
        <v>6546.8</v>
      </c>
      <c r="I4" s="40" t="n">
        <v>1758.28</v>
      </c>
      <c r="J4" s="40" t="n">
        <v>1758.28</v>
      </c>
    </row>
    <row r="5" ht="18" customHeight="1">
      <c r="A5" s="35" t="n">
        <v>8</v>
      </c>
      <c r="B5" s="35" t="n">
        <v>5</v>
      </c>
      <c r="C5" s="36" t="n">
        <v>1</v>
      </c>
      <c r="D5" s="37" t="n">
        <v>385</v>
      </c>
      <c r="E5" s="37" t="n">
        <v>1925</v>
      </c>
      <c r="F5" s="37" t="n">
        <v>361.96</v>
      </c>
      <c r="G5" s="37" t="n">
        <v>2286.96</v>
      </c>
      <c r="H5" s="37" t="n">
        <v>3406.1</v>
      </c>
      <c r="I5" s="37" t="n">
        <v>914.78</v>
      </c>
      <c r="J5" s="37" t="n">
        <v>914.78</v>
      </c>
    </row>
    <row r="6" ht="18" customHeight="1">
      <c r="A6" s="38" t="n">
        <v>8</v>
      </c>
      <c r="B6" s="38" t="n">
        <v>10</v>
      </c>
      <c r="C6" s="39" t="n">
        <v>1</v>
      </c>
      <c r="D6" s="40" t="n">
        <v>385</v>
      </c>
      <c r="E6" s="40" t="n">
        <v>3850</v>
      </c>
      <c r="F6" s="40" t="n">
        <v>723.91</v>
      </c>
      <c r="G6" s="40" t="n">
        <v>4573.91</v>
      </c>
      <c r="H6" s="40" t="n">
        <v>6812.21</v>
      </c>
      <c r="I6" s="40" t="n">
        <v>1829.56</v>
      </c>
      <c r="J6" s="40" t="n">
        <v>1829.56</v>
      </c>
    </row>
    <row r="7" ht="18" customHeight="1">
      <c r="A7" s="35" t="n">
        <v>10</v>
      </c>
      <c r="B7" s="35" t="n">
        <v>5</v>
      </c>
      <c r="C7" s="36" t="n">
        <v>1</v>
      </c>
      <c r="D7" s="37" t="n">
        <v>450</v>
      </c>
      <c r="E7" s="37" t="n">
        <v>2250</v>
      </c>
      <c r="F7" s="37" t="n">
        <v>423.06</v>
      </c>
      <c r="G7" s="37" t="n">
        <v>2673.06</v>
      </c>
      <c r="H7" s="37" t="n">
        <v>3981.16</v>
      </c>
      <c r="I7" s="37" t="n">
        <v>1069.23</v>
      </c>
      <c r="J7" s="37" t="n">
        <v>1069.23</v>
      </c>
    </row>
    <row r="8" ht="18" customHeight="1">
      <c r="A8" s="38" t="n">
        <v>10</v>
      </c>
      <c r="B8" s="38" t="n">
        <v>15</v>
      </c>
      <c r="C8" s="39" t="n">
        <v>1</v>
      </c>
      <c r="D8" s="40" t="n">
        <v>450</v>
      </c>
      <c r="E8" s="40" t="n">
        <v>6750</v>
      </c>
      <c r="F8" s="40" t="n">
        <v>1269.19</v>
      </c>
      <c r="G8" s="40" t="n">
        <v>8019.19</v>
      </c>
      <c r="H8" s="40" t="n">
        <v>11943.48</v>
      </c>
      <c r="I8" s="40" t="n">
        <v>3207.68</v>
      </c>
      <c r="J8" s="40" t="n">
        <v>3207.68</v>
      </c>
    </row>
    <row r="9" ht="18" customHeight="1">
      <c r="A9" s="35" t="n">
        <v>12</v>
      </c>
      <c r="B9" s="35" t="n">
        <v>10</v>
      </c>
      <c r="C9" s="36" t="n">
        <v>1</v>
      </c>
      <c r="D9" s="37" t="n">
        <v>505</v>
      </c>
      <c r="E9" s="37" t="n">
        <v>5050</v>
      </c>
      <c r="F9" s="37" t="n">
        <v>949.55</v>
      </c>
      <c r="G9" s="37" t="n">
        <v>5999.55</v>
      </c>
      <c r="H9" s="37" t="n">
        <v>8935.49</v>
      </c>
      <c r="I9" s="37" t="n">
        <v>2399.82</v>
      </c>
      <c r="J9" s="37" t="n">
        <v>2399.82</v>
      </c>
    </row>
    <row r="10" ht="18" customHeight="1">
      <c r="A10" s="38" t="n">
        <v>12</v>
      </c>
      <c r="B10" s="38" t="n">
        <v>15</v>
      </c>
      <c r="C10" s="39" t="n">
        <v>1</v>
      </c>
      <c r="D10" s="40" t="n">
        <v>505</v>
      </c>
      <c r="E10" s="40" t="n">
        <v>7575</v>
      </c>
      <c r="F10" s="40" t="n">
        <v>1424.32</v>
      </c>
      <c r="G10" s="40" t="n">
        <v>8999.32</v>
      </c>
      <c r="H10" s="40" t="n">
        <v>13403.24</v>
      </c>
      <c r="I10" s="40" t="n">
        <v>3599.73</v>
      </c>
      <c r="J10" s="40" t="n">
        <v>3599.73</v>
      </c>
    </row>
    <row r="11" ht="18" customHeight="1">
      <c r="A11" s="35" t="n">
        <v>12</v>
      </c>
      <c r="B11" s="35" t="n">
        <v>20</v>
      </c>
      <c r="C11" s="36" t="n">
        <v>1</v>
      </c>
      <c r="D11" s="37" t="n">
        <v>505</v>
      </c>
      <c r="E11" s="37" t="n">
        <v>10100</v>
      </c>
      <c r="F11" s="37" t="n">
        <v>1899.09</v>
      </c>
      <c r="G11" s="37" t="n">
        <v>11999.09</v>
      </c>
      <c r="H11" s="37" t="n">
        <v>17870.99</v>
      </c>
      <c r="I11" s="37" t="n">
        <v>4799.64</v>
      </c>
      <c r="J11" s="37" t="n">
        <v>4799.64</v>
      </c>
    </row>
    <row r="12" ht="18" customHeight="1">
      <c r="A12" s="38" t="n">
        <v>14</v>
      </c>
      <c r="B12" s="38" t="n">
        <v>15</v>
      </c>
      <c r="C12" s="39" t="n">
        <v>1</v>
      </c>
      <c r="D12" s="40" t="n">
        <v>585</v>
      </c>
      <c r="E12" s="40" t="n">
        <v>8775</v>
      </c>
      <c r="F12" s="40" t="n">
        <v>1649.95</v>
      </c>
      <c r="G12" s="40" t="n">
        <v>10424.95</v>
      </c>
      <c r="H12" s="40" t="n">
        <v>15526.53</v>
      </c>
      <c r="I12" s="40" t="n">
        <v>4169.98</v>
      </c>
      <c r="J12" s="40" t="n">
        <v>4169.98</v>
      </c>
    </row>
    <row r="13" ht="18" customHeight="1">
      <c r="A13" s="35" t="n">
        <v>14</v>
      </c>
      <c r="B13" s="35" t="n">
        <v>20</v>
      </c>
      <c r="C13" s="36" t="n">
        <v>1</v>
      </c>
      <c r="D13" s="37" t="n">
        <v>585</v>
      </c>
      <c r="E13" s="37" t="n">
        <v>11700</v>
      </c>
      <c r="F13" s="37" t="n">
        <v>2199.94</v>
      </c>
      <c r="G13" s="37" t="n">
        <v>13899.94</v>
      </c>
      <c r="H13" s="37" t="n">
        <v>20702.03</v>
      </c>
      <c r="I13" s="37" t="n">
        <v>5559.97</v>
      </c>
      <c r="J13" s="37" t="n">
        <v>5559.97</v>
      </c>
    </row>
    <row r="14" ht="18" customHeight="1">
      <c r="A14" s="38" t="n">
        <v>16</v>
      </c>
      <c r="B14" s="38" t="n">
        <v>10</v>
      </c>
      <c r="C14" s="39" t="n">
        <v>1</v>
      </c>
      <c r="D14" s="40" t="n">
        <v>650</v>
      </c>
      <c r="E14" s="40" t="n">
        <v>6500</v>
      </c>
      <c r="F14" s="40" t="n">
        <v>1222.19</v>
      </c>
      <c r="G14" s="40" t="n">
        <v>7722.19</v>
      </c>
      <c r="H14" s="40" t="n">
        <v>11501.13</v>
      </c>
      <c r="I14" s="40" t="n">
        <v>3088.87</v>
      </c>
      <c r="J14" s="40" t="n">
        <v>3088.87</v>
      </c>
    </row>
    <row r="15" ht="18" customHeight="1">
      <c r="A15" s="35" t="n">
        <v>16</v>
      </c>
      <c r="B15" s="35" t="n">
        <v>15</v>
      </c>
      <c r="C15" s="36" t="n">
        <v>1</v>
      </c>
      <c r="D15" s="37" t="n">
        <v>650</v>
      </c>
      <c r="E15" s="37" t="n">
        <v>9750</v>
      </c>
      <c r="F15" s="37" t="n">
        <v>1833.28</v>
      </c>
      <c r="G15" s="37" t="n">
        <v>11583.28</v>
      </c>
      <c r="H15" s="37" t="n">
        <v>17251.7</v>
      </c>
      <c r="I15" s="37" t="n">
        <v>4633.31</v>
      </c>
      <c r="J15" s="37" t="n">
        <v>4633.31</v>
      </c>
    </row>
    <row r="16" ht="22" customHeight="1">
      <c r="A16" s="31" t="inlineStr">
        <is>
          <t>ИТОГО (основные позиции)</t>
        </is>
      </c>
      <c r="E16" s="41" t="n">
        <v>79775</v>
      </c>
      <c r="F16" s="41" t="n">
        <v>15000</v>
      </c>
      <c r="G16" s="41" t="n">
        <v>94775</v>
      </c>
      <c r="H16" s="41" t="n">
        <v>141154.26</v>
      </c>
      <c r="I16" s="31" t="inlineStr">
        <is>
          <t>—</t>
        </is>
      </c>
      <c r="J16" s="41" t="n">
        <v>37910</v>
      </c>
    </row>
    <row r="18" ht="22" customHeight="1">
      <c r="A18" s="42" t="inlineStr">
        <is>
          <t>18 мм — ДОПОЛНИТЕЛЬНЫЙ АНАЛИЗ (без аллокации расходов — чисто по марже)</t>
        </is>
      </c>
    </row>
    <row r="19" ht="18" customHeight="1">
      <c r="A19" s="43" t="n">
        <v>18</v>
      </c>
      <c r="B19" s="43" t="n">
        <v>5</v>
      </c>
      <c r="C19" s="44" t="n">
        <v>1</v>
      </c>
      <c r="D19" s="45" t="n">
        <v>997</v>
      </c>
      <c r="E19" s="45" t="n">
        <v>4985</v>
      </c>
      <c r="F19" s="45" t="n">
        <v>0</v>
      </c>
      <c r="G19" s="45" t="n">
        <v>4985</v>
      </c>
      <c r="H19" s="45" t="n">
        <v>7424.47</v>
      </c>
      <c r="I19" s="45" t="n">
        <v>1994</v>
      </c>
      <c r="J19" s="45" t="n">
        <v>1994</v>
      </c>
    </row>
    <row r="20" ht="18" customHeight="1">
      <c r="A20" s="43" t="n">
        <v>18</v>
      </c>
      <c r="B20" s="43" t="n">
        <v>10</v>
      </c>
      <c r="C20" s="44" t="n">
        <v>1</v>
      </c>
      <c r="D20" s="45" t="n">
        <v>997</v>
      </c>
      <c r="E20" s="45" t="n">
        <v>9970</v>
      </c>
      <c r="F20" s="45" t="n">
        <v>0</v>
      </c>
      <c r="G20" s="45" t="n">
        <v>9970</v>
      </c>
      <c r="H20" s="45" t="n">
        <v>14848.94</v>
      </c>
      <c r="I20" s="45" t="n">
        <v>3988</v>
      </c>
      <c r="J20" s="45" t="n">
        <v>3988</v>
      </c>
    </row>
    <row r="21" ht="18" customHeight="1">
      <c r="A21" s="43" t="n">
        <v>18</v>
      </c>
      <c r="B21" s="43" t="n">
        <v>15</v>
      </c>
      <c r="C21" s="44" t="n">
        <v>1</v>
      </c>
      <c r="D21" s="45" t="n">
        <v>997</v>
      </c>
      <c r="E21" s="45" t="n">
        <v>14955</v>
      </c>
      <c r="F21" s="45" t="n">
        <v>0</v>
      </c>
      <c r="G21" s="45" t="n">
        <v>14955</v>
      </c>
      <c r="H21" s="45" t="n">
        <v>22273.4</v>
      </c>
      <c r="I21" s="45" t="n">
        <v>5982</v>
      </c>
      <c r="J21" s="45" t="n">
        <v>5982</v>
      </c>
    </row>
    <row r="23" ht="18" customHeight="1">
      <c r="A23" s="46" t="inlineStr">
        <is>
          <t xml:space="preserve">  ℹ  Столбец «Кол-во» можно менять вручную — данный расчёт показан для qty = 1 шт каждой позиции</t>
        </is>
      </c>
    </row>
  </sheetData>
  <mergeCells count="6">
    <mergeCell ref="A1:D1"/>
    <mergeCell ref="A23:J23"/>
    <mergeCell ref="A18:J18"/>
    <mergeCell ref="A16:D16"/>
    <mergeCell ref="I1:J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2026-05-10T05:37:23Z</dcterms:created>
  <dcterms:modified xsi:type="dcterms:W3CDTF">2026-05-10T05:37:23Z</dcterms:modified>
</cp:coreProperties>
</file>